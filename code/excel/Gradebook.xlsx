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500695/Documents/"/>
    </mc:Choice>
  </mc:AlternateContent>
  <xr:revisionPtr revIDLastSave="0" documentId="13_ncr:1_{EB6182BB-488E-B64C-AA76-2C005868B873}" xr6:coauthVersionLast="47" xr6:coauthVersionMax="47" xr10:uidLastSave="{00000000-0000-0000-0000-000000000000}"/>
  <bookViews>
    <workbookView xWindow="0" yWindow="500" windowWidth="51200" windowHeight="28300" xr2:uid="{502C1237-B5C0-5E4E-804C-ADC9DC9829FD}"/>
  </bookViews>
  <sheets>
    <sheet name="Sheet1" sheetId="1" r:id="rId1"/>
  </sheets>
  <definedNames>
    <definedName name="last_first_names" localSheetId="0">Sheet1!$A$4:$B$43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K5" i="1" s="1"/>
  <c r="F6" i="1"/>
  <c r="K6" i="1" s="1"/>
  <c r="F7" i="1"/>
  <c r="K7" i="1" s="1"/>
  <c r="F8" i="1"/>
  <c r="K8" i="1" s="1"/>
  <c r="F9" i="1"/>
  <c r="K9" i="1" s="1"/>
  <c r="F10" i="1"/>
  <c r="K10" i="1" s="1"/>
  <c r="F11" i="1"/>
  <c r="K11" i="1" s="1"/>
  <c r="F12" i="1"/>
  <c r="K12" i="1" s="1"/>
  <c r="F13" i="1"/>
  <c r="K13" i="1" s="1"/>
  <c r="F14" i="1"/>
  <c r="K14" i="1" s="1"/>
  <c r="F15" i="1"/>
  <c r="K15" i="1" s="1"/>
  <c r="F16" i="1"/>
  <c r="K16" i="1" s="1"/>
  <c r="F17" i="1"/>
  <c r="K17" i="1" s="1"/>
  <c r="F18" i="1"/>
  <c r="K18" i="1" s="1"/>
  <c r="F19" i="1"/>
  <c r="K19" i="1" s="1"/>
  <c r="F20" i="1"/>
  <c r="K20" i="1" s="1"/>
  <c r="F21" i="1"/>
  <c r="K21" i="1" s="1"/>
  <c r="F22" i="1"/>
  <c r="K22" i="1" s="1"/>
  <c r="F23" i="1"/>
  <c r="K23" i="1" s="1"/>
  <c r="F24" i="1"/>
  <c r="K24" i="1" s="1"/>
  <c r="F25" i="1"/>
  <c r="K25" i="1" s="1"/>
  <c r="F26" i="1"/>
  <c r="K26" i="1" s="1"/>
  <c r="F27" i="1"/>
  <c r="K27" i="1" s="1"/>
  <c r="F28" i="1"/>
  <c r="K28" i="1" s="1"/>
  <c r="F29" i="1"/>
  <c r="K29" i="1" s="1"/>
  <c r="F30" i="1"/>
  <c r="K30" i="1" s="1"/>
  <c r="F31" i="1"/>
  <c r="K31" i="1" s="1"/>
  <c r="F32" i="1"/>
  <c r="K32" i="1" s="1"/>
  <c r="F33" i="1"/>
  <c r="K33" i="1" s="1"/>
  <c r="F34" i="1"/>
  <c r="K34" i="1" s="1"/>
  <c r="F35" i="1"/>
  <c r="K35" i="1" s="1"/>
  <c r="F36" i="1"/>
  <c r="K36" i="1" s="1"/>
  <c r="F37" i="1"/>
  <c r="K37" i="1" s="1"/>
  <c r="F38" i="1"/>
  <c r="K38" i="1" s="1"/>
  <c r="F39" i="1"/>
  <c r="K39" i="1" s="1"/>
  <c r="F40" i="1"/>
  <c r="K40" i="1" s="1"/>
  <c r="F41" i="1"/>
  <c r="K41" i="1" s="1"/>
  <c r="K42" i="1"/>
  <c r="F43" i="1"/>
  <c r="K43" i="1" s="1"/>
  <c r="F4" i="1"/>
  <c r="K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12" i="1"/>
  <c r="J12" i="1" s="1"/>
  <c r="E13" i="1"/>
  <c r="J13" i="1" s="1"/>
  <c r="E14" i="1"/>
  <c r="J14" i="1" s="1"/>
  <c r="E15" i="1"/>
  <c r="J15" i="1" s="1"/>
  <c r="E16" i="1"/>
  <c r="J16" i="1" s="1"/>
  <c r="E17" i="1"/>
  <c r="J17" i="1" s="1"/>
  <c r="E18" i="1"/>
  <c r="J18" i="1" s="1"/>
  <c r="E19" i="1"/>
  <c r="J19" i="1" s="1"/>
  <c r="E20" i="1"/>
  <c r="J20" i="1" s="1"/>
  <c r="E21" i="1"/>
  <c r="J21" i="1" s="1"/>
  <c r="E22" i="1"/>
  <c r="J22" i="1" s="1"/>
  <c r="E23" i="1"/>
  <c r="J23" i="1" s="1"/>
  <c r="E24" i="1"/>
  <c r="J24" i="1" s="1"/>
  <c r="E25" i="1"/>
  <c r="J25" i="1" s="1"/>
  <c r="E26" i="1"/>
  <c r="J26" i="1" s="1"/>
  <c r="E27" i="1"/>
  <c r="J27" i="1" s="1"/>
  <c r="E28" i="1"/>
  <c r="J28" i="1" s="1"/>
  <c r="E29" i="1"/>
  <c r="J29" i="1" s="1"/>
  <c r="E30" i="1"/>
  <c r="J30" i="1" s="1"/>
  <c r="E31" i="1"/>
  <c r="J31" i="1" s="1"/>
  <c r="E32" i="1"/>
  <c r="J32" i="1" s="1"/>
  <c r="E33" i="1"/>
  <c r="J33" i="1" s="1"/>
  <c r="E34" i="1"/>
  <c r="J34" i="1" s="1"/>
  <c r="E35" i="1"/>
  <c r="J35" i="1" s="1"/>
  <c r="E36" i="1"/>
  <c r="J36" i="1" s="1"/>
  <c r="E37" i="1"/>
  <c r="J37" i="1" s="1"/>
  <c r="E38" i="1"/>
  <c r="J38" i="1" s="1"/>
  <c r="E39" i="1"/>
  <c r="J39" i="1" s="1"/>
  <c r="E40" i="1"/>
  <c r="J40" i="1" s="1"/>
  <c r="E41" i="1"/>
  <c r="J41" i="1" s="1"/>
  <c r="J42" i="1"/>
  <c r="E43" i="1"/>
  <c r="J43" i="1" s="1"/>
  <c r="E4" i="1"/>
  <c r="J4" i="1" s="1"/>
  <c r="D5" i="1"/>
  <c r="I5" i="1" s="1"/>
  <c r="D6" i="1"/>
  <c r="I6" i="1" s="1"/>
  <c r="D7" i="1"/>
  <c r="I7" i="1" s="1"/>
  <c r="D8" i="1"/>
  <c r="I8" i="1" s="1"/>
  <c r="D9" i="1"/>
  <c r="I9" i="1" s="1"/>
  <c r="D10" i="1"/>
  <c r="I10" i="1" s="1"/>
  <c r="D11" i="1"/>
  <c r="I11" i="1" s="1"/>
  <c r="D12" i="1"/>
  <c r="I12" i="1" s="1"/>
  <c r="D13" i="1"/>
  <c r="I13" i="1" s="1"/>
  <c r="D14" i="1"/>
  <c r="I14" i="1" s="1"/>
  <c r="D15" i="1"/>
  <c r="I15" i="1" s="1"/>
  <c r="D16" i="1"/>
  <c r="I16" i="1" s="1"/>
  <c r="D17" i="1"/>
  <c r="I17" i="1" s="1"/>
  <c r="D18" i="1"/>
  <c r="I18" i="1" s="1"/>
  <c r="D19" i="1"/>
  <c r="I19" i="1" s="1"/>
  <c r="D20" i="1"/>
  <c r="I20" i="1" s="1"/>
  <c r="D21" i="1"/>
  <c r="I21" i="1" s="1"/>
  <c r="D22" i="1"/>
  <c r="I22" i="1" s="1"/>
  <c r="D23" i="1"/>
  <c r="I23" i="1" s="1"/>
  <c r="D24" i="1"/>
  <c r="I24" i="1" s="1"/>
  <c r="D25" i="1"/>
  <c r="I25" i="1" s="1"/>
  <c r="D26" i="1"/>
  <c r="I26" i="1" s="1"/>
  <c r="D27" i="1"/>
  <c r="I27" i="1" s="1"/>
  <c r="D28" i="1"/>
  <c r="I28" i="1" s="1"/>
  <c r="D29" i="1"/>
  <c r="I29" i="1" s="1"/>
  <c r="D30" i="1"/>
  <c r="I30" i="1" s="1"/>
  <c r="D31" i="1"/>
  <c r="I31" i="1" s="1"/>
  <c r="D32" i="1"/>
  <c r="I32" i="1" s="1"/>
  <c r="D33" i="1"/>
  <c r="I33" i="1" s="1"/>
  <c r="D34" i="1"/>
  <c r="I34" i="1" s="1"/>
  <c r="D35" i="1"/>
  <c r="I35" i="1" s="1"/>
  <c r="D36" i="1"/>
  <c r="I36" i="1" s="1"/>
  <c r="D37" i="1"/>
  <c r="I37" i="1" s="1"/>
  <c r="D38" i="1"/>
  <c r="I38" i="1" s="1"/>
  <c r="D39" i="1"/>
  <c r="I39" i="1" s="1"/>
  <c r="D40" i="1"/>
  <c r="I40" i="1" s="1"/>
  <c r="D41" i="1"/>
  <c r="I41" i="1" s="1"/>
  <c r="I42" i="1"/>
  <c r="D43" i="1"/>
  <c r="I43" i="1" s="1"/>
  <c r="D4" i="1"/>
  <c r="I4" i="1" s="1"/>
  <c r="C5" i="1"/>
  <c r="H5" i="1" s="1"/>
  <c r="C6" i="1"/>
  <c r="H6" i="1" s="1"/>
  <c r="M6" i="1" s="1"/>
  <c r="C7" i="1"/>
  <c r="H7" i="1" s="1"/>
  <c r="C8" i="1"/>
  <c r="H8" i="1" s="1"/>
  <c r="C9" i="1"/>
  <c r="H9" i="1" s="1"/>
  <c r="C10" i="1"/>
  <c r="H10" i="1" s="1"/>
  <c r="C11" i="1"/>
  <c r="H11" i="1" s="1"/>
  <c r="C12" i="1"/>
  <c r="H12" i="1" s="1"/>
  <c r="C13" i="1"/>
  <c r="H13" i="1" s="1"/>
  <c r="C14" i="1"/>
  <c r="H14" i="1" s="1"/>
  <c r="C15" i="1"/>
  <c r="H15" i="1" s="1"/>
  <c r="M15" i="1" s="1"/>
  <c r="C16" i="1"/>
  <c r="H16" i="1" s="1"/>
  <c r="M16" i="1" s="1"/>
  <c r="C17" i="1"/>
  <c r="H17" i="1" s="1"/>
  <c r="C18" i="1"/>
  <c r="H18" i="1" s="1"/>
  <c r="C19" i="1"/>
  <c r="H19" i="1" s="1"/>
  <c r="C20" i="1"/>
  <c r="H20" i="1" s="1"/>
  <c r="C21" i="1"/>
  <c r="H21" i="1" s="1"/>
  <c r="C22" i="1"/>
  <c r="H22" i="1" s="1"/>
  <c r="C23" i="1"/>
  <c r="H23" i="1" s="1"/>
  <c r="C24" i="1"/>
  <c r="H24" i="1" s="1"/>
  <c r="C25" i="1"/>
  <c r="H25" i="1" s="1"/>
  <c r="C26" i="1"/>
  <c r="H26" i="1" s="1"/>
  <c r="M26" i="1" s="1"/>
  <c r="C27" i="1"/>
  <c r="H27" i="1" s="1"/>
  <c r="C28" i="1"/>
  <c r="H28" i="1" s="1"/>
  <c r="C29" i="1"/>
  <c r="H29" i="1" s="1"/>
  <c r="C30" i="1"/>
  <c r="H30" i="1" s="1"/>
  <c r="C31" i="1"/>
  <c r="H31" i="1" s="1"/>
  <c r="M31" i="1" s="1"/>
  <c r="C32" i="1"/>
  <c r="H32" i="1" s="1"/>
  <c r="C33" i="1"/>
  <c r="H33" i="1" s="1"/>
  <c r="C34" i="1"/>
  <c r="H34" i="1" s="1"/>
  <c r="C35" i="1"/>
  <c r="H35" i="1" s="1"/>
  <c r="M35" i="1" s="1"/>
  <c r="C36" i="1"/>
  <c r="H36" i="1" s="1"/>
  <c r="M36" i="1" s="1"/>
  <c r="C37" i="1"/>
  <c r="H37" i="1" s="1"/>
  <c r="M37" i="1" s="1"/>
  <c r="C38" i="1"/>
  <c r="H38" i="1" s="1"/>
  <c r="C39" i="1"/>
  <c r="H39" i="1" s="1"/>
  <c r="M39" i="1" s="1"/>
  <c r="C40" i="1"/>
  <c r="H40" i="1" s="1"/>
  <c r="C41" i="1"/>
  <c r="H41" i="1" s="1"/>
  <c r="H42" i="1"/>
  <c r="C43" i="1"/>
  <c r="H43" i="1" s="1"/>
  <c r="C4" i="1"/>
  <c r="H4" i="1" s="1"/>
  <c r="M4" i="1" s="1"/>
  <c r="M40" i="1" l="1"/>
  <c r="M42" i="1"/>
  <c r="M23" i="1"/>
  <c r="M17" i="1"/>
  <c r="J45" i="1"/>
  <c r="I46" i="1"/>
  <c r="K46" i="1"/>
  <c r="I45" i="1"/>
  <c r="J47" i="1"/>
  <c r="K47" i="1"/>
  <c r="H46" i="1"/>
  <c r="K45" i="1"/>
  <c r="J46" i="1"/>
  <c r="H47" i="1"/>
  <c r="I47" i="1"/>
  <c r="H45" i="1"/>
  <c r="F47" i="1"/>
  <c r="M19" i="1"/>
  <c r="E47" i="1"/>
  <c r="D47" i="1"/>
  <c r="F46" i="1"/>
  <c r="E46" i="1"/>
  <c r="D46" i="1"/>
  <c r="F45" i="1"/>
  <c r="E45" i="1"/>
  <c r="D45" i="1"/>
  <c r="C47" i="1"/>
  <c r="M11" i="1"/>
  <c r="C46" i="1"/>
  <c r="M33" i="1"/>
  <c r="M27" i="1"/>
  <c r="C45" i="1"/>
  <c r="M30" i="1"/>
  <c r="M20" i="1"/>
  <c r="M8" i="1"/>
  <c r="M10" i="1"/>
  <c r="M5" i="1"/>
  <c r="M43" i="1"/>
  <c r="M41" i="1"/>
  <c r="M25" i="1"/>
  <c r="M38" i="1"/>
  <c r="M28" i="1"/>
  <c r="M18" i="1"/>
  <c r="M32" i="1"/>
  <c r="M22" i="1"/>
  <c r="M29" i="1"/>
  <c r="M9" i="1"/>
  <c r="M7" i="1"/>
  <c r="M34" i="1"/>
  <c r="M24" i="1"/>
  <c r="M14" i="1"/>
  <c r="M21" i="1"/>
  <c r="M13" i="1"/>
  <c r="M1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CAB170-3F9A-AB41-A8A6-359346E2E3ED}" name="last_first_names" type="6" refreshedVersion="8" background="1" saveData="1">
    <textPr sourceFile="/Users/i500695/Documents/last_first_names.csv" comma="1">
      <textFields count="2">
        <textField type="text"/>
        <textField/>
      </textFields>
    </textPr>
  </connection>
</connections>
</file>

<file path=xl/sharedStrings.xml><?xml version="1.0" encoding="utf-8"?>
<sst xmlns="http://schemas.openxmlformats.org/spreadsheetml/2006/main" count="96" uniqueCount="87">
  <si>
    <t>Gradebook</t>
  </si>
  <si>
    <t>Last Name</t>
  </si>
  <si>
    <t>First Name</t>
  </si>
  <si>
    <t>John</t>
  </si>
  <si>
    <t>Smith</t>
  </si>
  <si>
    <t>Emily</t>
  </si>
  <si>
    <t>Johnson</t>
  </si>
  <si>
    <t>Michael</t>
  </si>
  <si>
    <t>Williams</t>
  </si>
  <si>
    <t>Sarah</t>
  </si>
  <si>
    <t>Jones</t>
  </si>
  <si>
    <t>James</t>
  </si>
  <si>
    <t>Brown</t>
  </si>
  <si>
    <t>Olivia</t>
  </si>
  <si>
    <t>Davis</t>
  </si>
  <si>
    <t>Robert</t>
  </si>
  <si>
    <t>Miller</t>
  </si>
  <si>
    <t>Emma</t>
  </si>
  <si>
    <t>Wilson</t>
  </si>
  <si>
    <t>David</t>
  </si>
  <si>
    <t>Moore</t>
  </si>
  <si>
    <t>Sophia</t>
  </si>
  <si>
    <t>Taylor</t>
  </si>
  <si>
    <t>William</t>
  </si>
  <si>
    <t>Anderson</t>
  </si>
  <si>
    <t>Ava</t>
  </si>
  <si>
    <t>White</t>
  </si>
  <si>
    <t>Charles</t>
  </si>
  <si>
    <t>Harris</t>
  </si>
  <si>
    <t>Isabella</t>
  </si>
  <si>
    <t>Martin</t>
  </si>
  <si>
    <t>Richard</t>
  </si>
  <si>
    <t>Thompson</t>
  </si>
  <si>
    <t>Mia</t>
  </si>
  <si>
    <t>Garcia</t>
  </si>
  <si>
    <t>Thomas</t>
  </si>
  <si>
    <t>Martinez</t>
  </si>
  <si>
    <t>Amelia</t>
  </si>
  <si>
    <t>Robinson</t>
  </si>
  <si>
    <t>Joseph</t>
  </si>
  <si>
    <t>Clark</t>
  </si>
  <si>
    <t>Harper</t>
  </si>
  <si>
    <t>Rodriguez</t>
  </si>
  <si>
    <t>Daniel</t>
  </si>
  <si>
    <t>Lewis</t>
  </si>
  <si>
    <t>Abigail</t>
  </si>
  <si>
    <t>Lee</t>
  </si>
  <si>
    <t>Matthew</t>
  </si>
  <si>
    <t>Walker</t>
  </si>
  <si>
    <t>Grace</t>
  </si>
  <si>
    <t>Hall</t>
  </si>
  <si>
    <t>Jackson</t>
  </si>
  <si>
    <t>Allen</t>
  </si>
  <si>
    <t>Ella</t>
  </si>
  <si>
    <t>Young</t>
  </si>
  <si>
    <t>Benjamin</t>
  </si>
  <si>
    <t>Hernandez</t>
  </si>
  <si>
    <t>Lily</t>
  </si>
  <si>
    <t>King</t>
  </si>
  <si>
    <t>Andrew</t>
  </si>
  <si>
    <t>Wright</t>
  </si>
  <si>
    <t>Chloe</t>
  </si>
  <si>
    <t>Scott</t>
  </si>
  <si>
    <t>Samuel</t>
  </si>
  <si>
    <t>Torres</t>
  </si>
  <si>
    <t>Nguyen</t>
  </si>
  <si>
    <t>Anthony</t>
  </si>
  <si>
    <t>Green</t>
  </si>
  <si>
    <t>Adams</t>
  </si>
  <si>
    <t>Christopher</t>
  </si>
  <si>
    <t>Aiden</t>
  </si>
  <si>
    <t>Turner</t>
  </si>
  <si>
    <t>Madison</t>
  </si>
  <si>
    <t>Parker</t>
  </si>
  <si>
    <t>Joshua</t>
  </si>
  <si>
    <t>Baker</t>
  </si>
  <si>
    <t>Zoe</t>
  </si>
  <si>
    <t>Cooper</t>
  </si>
  <si>
    <t>Company philosophy test</t>
  </si>
  <si>
    <t>Safety Ttest</t>
  </si>
  <si>
    <t>Financial skills test</t>
  </si>
  <si>
    <t>Drug test</t>
  </si>
  <si>
    <t>points possible</t>
  </si>
  <si>
    <t>Fire employee?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</si>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</sst>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textRotation="90"/>
    </xf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Safety</a:t>
            </a:r>
            <a:r>
              <a:rPr lang="en-US" baseline="0"/>
              <a:t> Test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Sheet1!$A$4:$A$43</c:f>
              <c:strCache>
                <c:ptCount val="40"/>
                <c:pt idx="0">
                  <c:v>John</c:v>
                </c:pt>
                <c:pt idx="1">
                  <c:v>Emily</c:v>
                </c:pt>
                <c:pt idx="2">
                  <c:v>Michael</c:v>
                </c:pt>
                <c:pt idx="3">
                  <c:v>Sarah</c:v>
                </c:pt>
                <c:pt idx="4">
                  <c:v>James</c:v>
                </c:pt>
                <c:pt idx="5">
                  <c:v>Olivia</c:v>
                </c:pt>
                <c:pt idx="6">
                  <c:v>Robert</c:v>
                </c:pt>
                <c:pt idx="7">
                  <c:v>Emma</c:v>
                </c:pt>
                <c:pt idx="8">
                  <c:v>David</c:v>
                </c:pt>
                <c:pt idx="9">
                  <c:v>Sophia</c:v>
                </c:pt>
                <c:pt idx="10">
                  <c:v>William</c:v>
                </c:pt>
                <c:pt idx="11">
                  <c:v>Ava</c:v>
                </c:pt>
                <c:pt idx="12">
                  <c:v>Charles</c:v>
                </c:pt>
                <c:pt idx="13">
                  <c:v>Isabella</c:v>
                </c:pt>
                <c:pt idx="14">
                  <c:v>Richard</c:v>
                </c:pt>
                <c:pt idx="15">
                  <c:v>Mia</c:v>
                </c:pt>
                <c:pt idx="16">
                  <c:v>Thomas</c:v>
                </c:pt>
                <c:pt idx="17">
                  <c:v>Amelia</c:v>
                </c:pt>
                <c:pt idx="18">
                  <c:v>Joseph</c:v>
                </c:pt>
                <c:pt idx="19">
                  <c:v>Harper</c:v>
                </c:pt>
                <c:pt idx="20">
                  <c:v>Daniel</c:v>
                </c:pt>
                <c:pt idx="21">
                  <c:v>Abigail</c:v>
                </c:pt>
                <c:pt idx="22">
                  <c:v>Matthew</c:v>
                </c:pt>
                <c:pt idx="23">
                  <c:v>Grace</c:v>
                </c:pt>
                <c:pt idx="24">
                  <c:v>Jackson</c:v>
                </c:pt>
                <c:pt idx="25">
                  <c:v>Ella</c:v>
                </c:pt>
                <c:pt idx="26">
                  <c:v>Benjamin</c:v>
                </c:pt>
                <c:pt idx="27">
                  <c:v>Lily</c:v>
                </c:pt>
                <c:pt idx="28">
                  <c:v>Andrew</c:v>
                </c:pt>
                <c:pt idx="29">
                  <c:v>Chloe</c:v>
                </c:pt>
                <c:pt idx="30">
                  <c:v>Samuel</c:v>
                </c:pt>
                <c:pt idx="31">
                  <c:v>Sophia</c:v>
                </c:pt>
                <c:pt idx="32">
                  <c:v>Anthony</c:v>
                </c:pt>
                <c:pt idx="33">
                  <c:v>Harper</c:v>
                </c:pt>
                <c:pt idx="34">
                  <c:v>Christopher</c:v>
                </c:pt>
                <c:pt idx="35">
                  <c:v>Grace</c:v>
                </c:pt>
                <c:pt idx="36">
                  <c:v>Aiden</c:v>
                </c:pt>
                <c:pt idx="37">
                  <c:v>Madison</c:v>
                </c:pt>
                <c:pt idx="38">
                  <c:v>Joshua</c:v>
                </c:pt>
                <c:pt idx="39">
                  <c:v>Zoe</c:v>
                </c:pt>
              </c:strCache>
            </c:strRef>
          </c:cat>
          <c:val>
            <c:numRef>
              <c:f>Sheet1!$C$4:$C$43</c:f>
              <c:numCache>
                <c:formatCode>General</c:formatCode>
                <c:ptCount val="40"/>
                <c:pt idx="0">
                  <c:v>0</c:v>
                </c:pt>
                <c:pt idx="1">
                  <c:v>8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6</c:v>
                </c:pt>
                <c:pt idx="6">
                  <c:v>3</c:v>
                </c:pt>
                <c:pt idx="7">
                  <c:v>7</c:v>
                </c:pt>
                <c:pt idx="8">
                  <c:v>2</c:v>
                </c:pt>
                <c:pt idx="9">
                  <c:v>1</c:v>
                </c:pt>
                <c:pt idx="10">
                  <c:v>7</c:v>
                </c:pt>
                <c:pt idx="11">
                  <c:v>6</c:v>
                </c:pt>
                <c:pt idx="12">
                  <c:v>1</c:v>
                </c:pt>
                <c:pt idx="13">
                  <c:v>10</c:v>
                </c:pt>
                <c:pt idx="14">
                  <c:v>5</c:v>
                </c:pt>
                <c:pt idx="15">
                  <c:v>7</c:v>
                </c:pt>
                <c:pt idx="16">
                  <c:v>4</c:v>
                </c:pt>
                <c:pt idx="17">
                  <c:v>4</c:v>
                </c:pt>
                <c:pt idx="18">
                  <c:v>9</c:v>
                </c:pt>
                <c:pt idx="19">
                  <c:v>6</c:v>
                </c:pt>
                <c:pt idx="20">
                  <c:v>2</c:v>
                </c:pt>
                <c:pt idx="21">
                  <c:v>6</c:v>
                </c:pt>
                <c:pt idx="22">
                  <c:v>8</c:v>
                </c:pt>
                <c:pt idx="23">
                  <c:v>3</c:v>
                </c:pt>
                <c:pt idx="24">
                  <c:v>7</c:v>
                </c:pt>
                <c:pt idx="25">
                  <c:v>10</c:v>
                </c:pt>
                <c:pt idx="26">
                  <c:v>3</c:v>
                </c:pt>
                <c:pt idx="27">
                  <c:v>8</c:v>
                </c:pt>
                <c:pt idx="28">
                  <c:v>9</c:v>
                </c:pt>
                <c:pt idx="29">
                  <c:v>3</c:v>
                </c:pt>
                <c:pt idx="30">
                  <c:v>4</c:v>
                </c:pt>
                <c:pt idx="31">
                  <c:v>8</c:v>
                </c:pt>
                <c:pt idx="32">
                  <c:v>1</c:v>
                </c:pt>
                <c:pt idx="33">
                  <c:v>10</c:v>
                </c:pt>
                <c:pt idx="34">
                  <c:v>3</c:v>
                </c:pt>
                <c:pt idx="35">
                  <c:v>7</c:v>
                </c:pt>
                <c:pt idx="36">
                  <c:v>6</c:v>
                </c:pt>
                <c:pt idx="37">
                  <c:v>4</c:v>
                </c:pt>
                <c:pt idx="38">
                  <c:v>9</c:v>
                </c:pt>
                <c:pt idx="3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2-3C4E-B3CF-BAD91AA79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920768"/>
        <c:axId val="213366640"/>
      </c:barChart>
      <c:catAx>
        <c:axId val="21292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13366640"/>
        <c:crosses val="autoZero"/>
        <c:auto val="1"/>
        <c:lblAlgn val="ctr"/>
        <c:lblOffset val="100"/>
        <c:noMultiLvlLbl val="0"/>
      </c:catAx>
      <c:valAx>
        <c:axId val="21336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1292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 philosophy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Sheet1!$A$4:$A$43</c:f>
              <c:strCache>
                <c:ptCount val="40"/>
                <c:pt idx="0">
                  <c:v>John</c:v>
                </c:pt>
                <c:pt idx="1">
                  <c:v>Emily</c:v>
                </c:pt>
                <c:pt idx="2">
                  <c:v>Michael</c:v>
                </c:pt>
                <c:pt idx="3">
                  <c:v>Sarah</c:v>
                </c:pt>
                <c:pt idx="4">
                  <c:v>James</c:v>
                </c:pt>
                <c:pt idx="5">
                  <c:v>Olivia</c:v>
                </c:pt>
                <c:pt idx="6">
                  <c:v>Robert</c:v>
                </c:pt>
                <c:pt idx="7">
                  <c:v>Emma</c:v>
                </c:pt>
                <c:pt idx="8">
                  <c:v>David</c:v>
                </c:pt>
                <c:pt idx="9">
                  <c:v>Sophia</c:v>
                </c:pt>
                <c:pt idx="10">
                  <c:v>William</c:v>
                </c:pt>
                <c:pt idx="11">
                  <c:v>Ava</c:v>
                </c:pt>
                <c:pt idx="12">
                  <c:v>Charles</c:v>
                </c:pt>
                <c:pt idx="13">
                  <c:v>Isabella</c:v>
                </c:pt>
                <c:pt idx="14">
                  <c:v>Richard</c:v>
                </c:pt>
                <c:pt idx="15">
                  <c:v>Mia</c:v>
                </c:pt>
                <c:pt idx="16">
                  <c:v>Thomas</c:v>
                </c:pt>
                <c:pt idx="17">
                  <c:v>Amelia</c:v>
                </c:pt>
                <c:pt idx="18">
                  <c:v>Joseph</c:v>
                </c:pt>
                <c:pt idx="19">
                  <c:v>Harper</c:v>
                </c:pt>
                <c:pt idx="20">
                  <c:v>Daniel</c:v>
                </c:pt>
                <c:pt idx="21">
                  <c:v>Abigail</c:v>
                </c:pt>
                <c:pt idx="22">
                  <c:v>Matthew</c:v>
                </c:pt>
                <c:pt idx="23">
                  <c:v>Grace</c:v>
                </c:pt>
                <c:pt idx="24">
                  <c:v>Jackson</c:v>
                </c:pt>
                <c:pt idx="25">
                  <c:v>Ella</c:v>
                </c:pt>
                <c:pt idx="26">
                  <c:v>Benjamin</c:v>
                </c:pt>
                <c:pt idx="27">
                  <c:v>Lily</c:v>
                </c:pt>
                <c:pt idx="28">
                  <c:v>Andrew</c:v>
                </c:pt>
                <c:pt idx="29">
                  <c:v>Chloe</c:v>
                </c:pt>
                <c:pt idx="30">
                  <c:v>Samuel</c:v>
                </c:pt>
                <c:pt idx="31">
                  <c:v>Sophia</c:v>
                </c:pt>
                <c:pt idx="32">
                  <c:v>Anthony</c:v>
                </c:pt>
                <c:pt idx="33">
                  <c:v>Harper</c:v>
                </c:pt>
                <c:pt idx="34">
                  <c:v>Christopher</c:v>
                </c:pt>
                <c:pt idx="35">
                  <c:v>Grace</c:v>
                </c:pt>
                <c:pt idx="36">
                  <c:v>Aiden</c:v>
                </c:pt>
                <c:pt idx="37">
                  <c:v>Madison</c:v>
                </c:pt>
                <c:pt idx="38">
                  <c:v>Joshua</c:v>
                </c:pt>
                <c:pt idx="39">
                  <c:v>Zoe</c:v>
                </c:pt>
              </c:strCache>
            </c:strRef>
          </c:cat>
          <c:val>
            <c:numRef>
              <c:f>Sheet1!$I$4:$I$43</c:f>
              <c:numCache>
                <c:formatCode>0%</c:formatCode>
                <c:ptCount val="40"/>
                <c:pt idx="0">
                  <c:v>0.1</c:v>
                </c:pt>
                <c:pt idx="1">
                  <c:v>0.65</c:v>
                </c:pt>
                <c:pt idx="2">
                  <c:v>0.2</c:v>
                </c:pt>
                <c:pt idx="3">
                  <c:v>0.7</c:v>
                </c:pt>
                <c:pt idx="4">
                  <c:v>0.7</c:v>
                </c:pt>
                <c:pt idx="5">
                  <c:v>0.95</c:v>
                </c:pt>
                <c:pt idx="6">
                  <c:v>0.7</c:v>
                </c:pt>
                <c:pt idx="7">
                  <c:v>0.1</c:v>
                </c:pt>
                <c:pt idx="8">
                  <c:v>0.5</c:v>
                </c:pt>
                <c:pt idx="9">
                  <c:v>0.1</c:v>
                </c:pt>
                <c:pt idx="10">
                  <c:v>1</c:v>
                </c:pt>
                <c:pt idx="11">
                  <c:v>0.65</c:v>
                </c:pt>
                <c:pt idx="12">
                  <c:v>0.8</c:v>
                </c:pt>
                <c:pt idx="13">
                  <c:v>0.4</c:v>
                </c:pt>
                <c:pt idx="14">
                  <c:v>0.25</c:v>
                </c:pt>
                <c:pt idx="15">
                  <c:v>0.05</c:v>
                </c:pt>
                <c:pt idx="16">
                  <c:v>0.95</c:v>
                </c:pt>
                <c:pt idx="17">
                  <c:v>0.1</c:v>
                </c:pt>
                <c:pt idx="18">
                  <c:v>0.55000000000000004</c:v>
                </c:pt>
                <c:pt idx="19">
                  <c:v>0.05</c:v>
                </c:pt>
                <c:pt idx="20">
                  <c:v>0.25</c:v>
                </c:pt>
                <c:pt idx="21">
                  <c:v>0.75</c:v>
                </c:pt>
                <c:pt idx="22">
                  <c:v>0.1</c:v>
                </c:pt>
                <c:pt idx="23">
                  <c:v>0.7</c:v>
                </c:pt>
                <c:pt idx="24">
                  <c:v>0.9</c:v>
                </c:pt>
                <c:pt idx="25">
                  <c:v>0.1</c:v>
                </c:pt>
                <c:pt idx="26">
                  <c:v>0.85</c:v>
                </c:pt>
                <c:pt idx="27">
                  <c:v>0.55000000000000004</c:v>
                </c:pt>
                <c:pt idx="28">
                  <c:v>0.3</c:v>
                </c:pt>
                <c:pt idx="29">
                  <c:v>0.35</c:v>
                </c:pt>
                <c:pt idx="30">
                  <c:v>0.15</c:v>
                </c:pt>
                <c:pt idx="31">
                  <c:v>0.1</c:v>
                </c:pt>
                <c:pt idx="32">
                  <c:v>0.6</c:v>
                </c:pt>
                <c:pt idx="33">
                  <c:v>0.5</c:v>
                </c:pt>
                <c:pt idx="34">
                  <c:v>0.45</c:v>
                </c:pt>
                <c:pt idx="35">
                  <c:v>0.9</c:v>
                </c:pt>
                <c:pt idx="36">
                  <c:v>0.6</c:v>
                </c:pt>
                <c:pt idx="37">
                  <c:v>0.9</c:v>
                </c:pt>
                <c:pt idx="38">
                  <c:v>0.95</c:v>
                </c:pt>
                <c:pt idx="39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7-8C43-B714-6C8A18BD6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4818304"/>
        <c:axId val="691461600"/>
      </c:barChart>
      <c:catAx>
        <c:axId val="23481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691461600"/>
        <c:crosses val="autoZero"/>
        <c:auto val="1"/>
        <c:lblAlgn val="ctr"/>
        <c:lblOffset val="100"/>
        <c:noMultiLvlLbl val="0"/>
      </c:catAx>
      <c:valAx>
        <c:axId val="69146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234818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 skills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>
        <c:manualLayout>
          <c:layoutTarget val="inner"/>
          <c:xMode val="edge"/>
          <c:yMode val="edge"/>
          <c:x val="8.3233814523184596E-2"/>
          <c:y val="3.7453703703703718E-2"/>
          <c:w val="0.87180774278215223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Sheet1!$A$4:$A$43</c:f>
              <c:strCache>
                <c:ptCount val="40"/>
                <c:pt idx="0">
                  <c:v>John</c:v>
                </c:pt>
                <c:pt idx="1">
                  <c:v>Emily</c:v>
                </c:pt>
                <c:pt idx="2">
                  <c:v>Michael</c:v>
                </c:pt>
                <c:pt idx="3">
                  <c:v>Sarah</c:v>
                </c:pt>
                <c:pt idx="4">
                  <c:v>James</c:v>
                </c:pt>
                <c:pt idx="5">
                  <c:v>Olivia</c:v>
                </c:pt>
                <c:pt idx="6">
                  <c:v>Robert</c:v>
                </c:pt>
                <c:pt idx="7">
                  <c:v>Emma</c:v>
                </c:pt>
                <c:pt idx="8">
                  <c:v>David</c:v>
                </c:pt>
                <c:pt idx="9">
                  <c:v>Sophia</c:v>
                </c:pt>
                <c:pt idx="10">
                  <c:v>William</c:v>
                </c:pt>
                <c:pt idx="11">
                  <c:v>Ava</c:v>
                </c:pt>
                <c:pt idx="12">
                  <c:v>Charles</c:v>
                </c:pt>
                <c:pt idx="13">
                  <c:v>Isabella</c:v>
                </c:pt>
                <c:pt idx="14">
                  <c:v>Richard</c:v>
                </c:pt>
                <c:pt idx="15">
                  <c:v>Mia</c:v>
                </c:pt>
                <c:pt idx="16">
                  <c:v>Thomas</c:v>
                </c:pt>
                <c:pt idx="17">
                  <c:v>Amelia</c:v>
                </c:pt>
                <c:pt idx="18">
                  <c:v>Joseph</c:v>
                </c:pt>
                <c:pt idx="19">
                  <c:v>Harper</c:v>
                </c:pt>
                <c:pt idx="20">
                  <c:v>Daniel</c:v>
                </c:pt>
                <c:pt idx="21">
                  <c:v>Abigail</c:v>
                </c:pt>
                <c:pt idx="22">
                  <c:v>Matthew</c:v>
                </c:pt>
                <c:pt idx="23">
                  <c:v>Grace</c:v>
                </c:pt>
                <c:pt idx="24">
                  <c:v>Jackson</c:v>
                </c:pt>
                <c:pt idx="25">
                  <c:v>Ella</c:v>
                </c:pt>
                <c:pt idx="26">
                  <c:v>Benjamin</c:v>
                </c:pt>
                <c:pt idx="27">
                  <c:v>Lily</c:v>
                </c:pt>
                <c:pt idx="28">
                  <c:v>Andrew</c:v>
                </c:pt>
                <c:pt idx="29">
                  <c:v>Chloe</c:v>
                </c:pt>
                <c:pt idx="30">
                  <c:v>Samuel</c:v>
                </c:pt>
                <c:pt idx="31">
                  <c:v>Sophia</c:v>
                </c:pt>
                <c:pt idx="32">
                  <c:v>Anthony</c:v>
                </c:pt>
                <c:pt idx="33">
                  <c:v>Harper</c:v>
                </c:pt>
                <c:pt idx="34">
                  <c:v>Christopher</c:v>
                </c:pt>
                <c:pt idx="35">
                  <c:v>Grace</c:v>
                </c:pt>
                <c:pt idx="36">
                  <c:v>Aiden</c:v>
                </c:pt>
                <c:pt idx="37">
                  <c:v>Madison</c:v>
                </c:pt>
                <c:pt idx="38">
                  <c:v>Joshua</c:v>
                </c:pt>
                <c:pt idx="39">
                  <c:v>Zoe</c:v>
                </c:pt>
              </c:strCache>
            </c:strRef>
          </c:cat>
          <c:val>
            <c:numRef>
              <c:f>Sheet1!$J$4:$J$43</c:f>
              <c:numCache>
                <c:formatCode>0%</c:formatCode>
                <c:ptCount val="40"/>
                <c:pt idx="0">
                  <c:v>0.63</c:v>
                </c:pt>
                <c:pt idx="1">
                  <c:v>0.66</c:v>
                </c:pt>
                <c:pt idx="2">
                  <c:v>0.13</c:v>
                </c:pt>
                <c:pt idx="3">
                  <c:v>0.73</c:v>
                </c:pt>
                <c:pt idx="4">
                  <c:v>0.94</c:v>
                </c:pt>
                <c:pt idx="5">
                  <c:v>0.48</c:v>
                </c:pt>
                <c:pt idx="6">
                  <c:v>0.55000000000000004</c:v>
                </c:pt>
                <c:pt idx="7">
                  <c:v>0.92</c:v>
                </c:pt>
                <c:pt idx="8">
                  <c:v>0.34</c:v>
                </c:pt>
                <c:pt idx="9">
                  <c:v>0.51</c:v>
                </c:pt>
                <c:pt idx="10">
                  <c:v>0.22</c:v>
                </c:pt>
                <c:pt idx="11">
                  <c:v>0.5</c:v>
                </c:pt>
                <c:pt idx="12">
                  <c:v>0.79</c:v>
                </c:pt>
                <c:pt idx="13">
                  <c:v>0.42</c:v>
                </c:pt>
                <c:pt idx="14">
                  <c:v>0.2</c:v>
                </c:pt>
                <c:pt idx="15">
                  <c:v>0.79</c:v>
                </c:pt>
                <c:pt idx="16">
                  <c:v>0.54</c:v>
                </c:pt>
                <c:pt idx="17">
                  <c:v>0.06</c:v>
                </c:pt>
                <c:pt idx="18">
                  <c:v>7.0000000000000007E-2</c:v>
                </c:pt>
                <c:pt idx="19">
                  <c:v>0.11</c:v>
                </c:pt>
                <c:pt idx="20">
                  <c:v>1</c:v>
                </c:pt>
                <c:pt idx="21">
                  <c:v>0.92</c:v>
                </c:pt>
                <c:pt idx="22">
                  <c:v>0.76</c:v>
                </c:pt>
                <c:pt idx="23">
                  <c:v>1</c:v>
                </c:pt>
                <c:pt idx="24">
                  <c:v>0.2</c:v>
                </c:pt>
                <c:pt idx="25">
                  <c:v>0.81</c:v>
                </c:pt>
                <c:pt idx="26">
                  <c:v>0.21</c:v>
                </c:pt>
                <c:pt idx="27">
                  <c:v>0.01</c:v>
                </c:pt>
                <c:pt idx="28">
                  <c:v>0.87</c:v>
                </c:pt>
                <c:pt idx="29">
                  <c:v>0.76</c:v>
                </c:pt>
                <c:pt idx="30">
                  <c:v>0.98</c:v>
                </c:pt>
                <c:pt idx="31">
                  <c:v>0.81</c:v>
                </c:pt>
                <c:pt idx="32">
                  <c:v>0.56000000000000005</c:v>
                </c:pt>
                <c:pt idx="33">
                  <c:v>0.5</c:v>
                </c:pt>
                <c:pt idx="34">
                  <c:v>0.56999999999999995</c:v>
                </c:pt>
                <c:pt idx="35">
                  <c:v>0.31</c:v>
                </c:pt>
                <c:pt idx="36">
                  <c:v>0.03</c:v>
                </c:pt>
                <c:pt idx="37">
                  <c:v>0.93</c:v>
                </c:pt>
                <c:pt idx="38">
                  <c:v>0.9</c:v>
                </c:pt>
                <c:pt idx="39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BC-204D-8A62-88B59CAE2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9982768"/>
        <c:axId val="1212865904"/>
      </c:barChart>
      <c:catAx>
        <c:axId val="30998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1212865904"/>
        <c:crosses val="autoZero"/>
        <c:auto val="1"/>
        <c:lblAlgn val="ctr"/>
        <c:lblOffset val="100"/>
        <c:noMultiLvlLbl val="0"/>
      </c:catAx>
      <c:valAx>
        <c:axId val="121286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30998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552450</xdr:colOff>
      <xdr:row>14</xdr:row>
      <xdr:rowOff>114300</xdr:rowOff>
    </xdr:from>
    <xdr:to>
      <xdr:col>25</xdr:col>
      <xdr:colOff>520700</xdr:colOff>
      <xdr:row>35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BB37F0-0949-3DA5-3CBA-86E9ABE68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552450</xdr:colOff>
      <xdr:row>35</xdr:row>
      <xdr:rowOff>171450</xdr:rowOff>
    </xdr:from>
    <xdr:to>
      <xdr:col>25</xdr:col>
      <xdr:colOff>546100</xdr:colOff>
      <xdr:row>50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07CD98-46B4-23FC-81AD-9568F802C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622300</xdr:colOff>
      <xdr:row>51</xdr:row>
      <xdr:rowOff>88900</xdr:rowOff>
    </xdr:from>
    <xdr:to>
      <xdr:col>25</xdr:col>
      <xdr:colOff>533400</xdr:colOff>
      <xdr:row>66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BF42AA-1B35-3A7A-F9A6-67CC08A06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ast_first_names" connectionId="1" xr16:uid="{131F33D7-BC8F-E148-BB73-D564DBBE5D4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57CA-E88A-8144-966E-3B7E46EA74CA}">
  <dimension ref="A1:M47"/>
  <sheetViews>
    <sheetView tabSelected="1" workbookViewId="0">
      <selection activeCell="AA23" sqref="AA23"/>
    </sheetView>
  </sheetViews>
  <sheetFormatPr baseColWidth="10" defaultRowHeight="16" x14ac:dyDescent="0.2"/>
  <cols>
    <col min="1" max="1" width="10.5" bestFit="1" customWidth="1"/>
    <col min="2" max="2" width="10" bestFit="1" customWidth="1"/>
    <col min="3" max="3" width="6" customWidth="1"/>
    <col min="4" max="4" width="6.6640625" customWidth="1"/>
    <col min="5" max="6" width="5.5" customWidth="1"/>
  </cols>
  <sheetData>
    <row r="1" spans="1:13" ht="131" x14ac:dyDescent="0.2">
      <c r="A1" t="s">
        <v>0</v>
      </c>
      <c r="C1" s="2" t="s">
        <v>79</v>
      </c>
      <c r="D1" s="2" t="s">
        <v>78</v>
      </c>
      <c r="E1" s="2" t="s">
        <v>80</v>
      </c>
      <c r="F1" s="2" t="s">
        <v>81</v>
      </c>
      <c r="H1" s="2" t="s">
        <v>79</v>
      </c>
      <c r="I1" s="2" t="s">
        <v>78</v>
      </c>
      <c r="J1" s="2" t="s">
        <v>80</v>
      </c>
      <c r="K1" s="2" t="s">
        <v>81</v>
      </c>
      <c r="M1" s="2" t="s">
        <v>83</v>
      </c>
    </row>
    <row r="2" spans="1:13" x14ac:dyDescent="0.2">
      <c r="B2" t="s">
        <v>82</v>
      </c>
      <c r="C2">
        <v>10</v>
      </c>
      <c r="D2">
        <v>20</v>
      </c>
      <c r="E2">
        <v>100</v>
      </c>
      <c r="F2">
        <v>1</v>
      </c>
    </row>
    <row r="3" spans="1:13" x14ac:dyDescent="0.2">
      <c r="A3" t="s">
        <v>1</v>
      </c>
      <c r="B3" t="s">
        <v>2</v>
      </c>
    </row>
    <row r="4" spans="1:13" x14ac:dyDescent="0.2">
      <c r="A4" s="1" t="s">
        <v>3</v>
      </c>
      <c r="B4" t="s">
        <v>4</v>
      </c>
      <c r="C4">
        <f ca="1">RANDBETWEEN(0,10)</f>
        <v>0</v>
      </c>
      <c r="D4">
        <f ca="1">RANDBETWEEN(1,20)</f>
        <v>2</v>
      </c>
      <c r="E4">
        <f ca="1">RANDBETWEEN(1,100)</f>
        <v>63</v>
      </c>
      <c r="F4">
        <f ca="1">RANDBETWEEN(0,1)</f>
        <v>0</v>
      </c>
      <c r="H4" s="3">
        <f ca="1">C4/C$2</f>
        <v>0</v>
      </c>
      <c r="I4" s="3">
        <f t="shared" ref="I4:K19" ca="1" si="0">D4/D$2</f>
        <v>0.1</v>
      </c>
      <c r="J4" s="3">
        <f t="shared" ca="1" si="0"/>
        <v>0.63</v>
      </c>
      <c r="K4" s="3">
        <f t="shared" ca="1" si="0"/>
        <v>0</v>
      </c>
      <c r="M4" s="3" t="b">
        <f ca="1">OR(H4&lt;0.5,I4&lt;0.5,J4&lt;0.5,K4&lt;0.5)</f>
        <v>1</v>
      </c>
    </row>
    <row r="5" spans="1:13" x14ac:dyDescent="0.2">
      <c r="A5" s="1" t="s">
        <v>5</v>
      </c>
      <c r="B5" t="s">
        <v>6</v>
      </c>
      <c r="C5">
        <f t="shared" ref="C5:C43" ca="1" si="1">RANDBETWEEN(0,10)</f>
        <v>8</v>
      </c>
      <c r="D5">
        <f t="shared" ref="D5:D43" ca="1" si="2">RANDBETWEEN(1,20)</f>
        <v>13</v>
      </c>
      <c r="E5">
        <f t="shared" ref="E5:E43" ca="1" si="3">RANDBETWEEN(1,100)</f>
        <v>66</v>
      </c>
      <c r="F5">
        <f t="shared" ref="F5:F43" ca="1" si="4">RANDBETWEEN(0,1)</f>
        <v>0</v>
      </c>
      <c r="H5" s="3">
        <f t="shared" ref="H5:H43" ca="1" si="5">C5/C$2</f>
        <v>0.8</v>
      </c>
      <c r="I5" s="3">
        <f t="shared" ca="1" si="0"/>
        <v>0.65</v>
      </c>
      <c r="J5" s="3">
        <f t="shared" ca="1" si="0"/>
        <v>0.66</v>
      </c>
      <c r="K5" s="3">
        <f t="shared" ca="1" si="0"/>
        <v>0</v>
      </c>
      <c r="M5" s="3" t="b">
        <f t="shared" ref="M5:M43" ca="1" si="6">OR(H5&lt;0.5,I5&lt;0.5,J5&lt;0.5,K5&lt;0.5)</f>
        <v>1</v>
      </c>
    </row>
    <row r="6" spans="1:13" x14ac:dyDescent="0.2">
      <c r="A6" s="1" t="s">
        <v>7</v>
      </c>
      <c r="B6" t="s">
        <v>8</v>
      </c>
      <c r="C6">
        <f t="shared" ca="1" si="1"/>
        <v>2</v>
      </c>
      <c r="D6">
        <f t="shared" ca="1" si="2"/>
        <v>4</v>
      </c>
      <c r="E6">
        <f t="shared" ca="1" si="3"/>
        <v>13</v>
      </c>
      <c r="F6">
        <f t="shared" ca="1" si="4"/>
        <v>0</v>
      </c>
      <c r="H6" s="3">
        <f t="shared" ca="1" si="5"/>
        <v>0.2</v>
      </c>
      <c r="I6" s="3">
        <f t="shared" ca="1" si="0"/>
        <v>0.2</v>
      </c>
      <c r="J6" s="3">
        <f t="shared" ca="1" si="0"/>
        <v>0.13</v>
      </c>
      <c r="K6" s="3">
        <f t="shared" ca="1" si="0"/>
        <v>0</v>
      </c>
      <c r="M6" s="3" t="b">
        <f t="shared" ca="1" si="6"/>
        <v>1</v>
      </c>
    </row>
    <row r="7" spans="1:13" x14ac:dyDescent="0.2">
      <c r="A7" s="1" t="s">
        <v>9</v>
      </c>
      <c r="B7" t="s">
        <v>10</v>
      </c>
      <c r="C7">
        <f t="shared" ca="1" si="1"/>
        <v>0</v>
      </c>
      <c r="D7">
        <f t="shared" ca="1" si="2"/>
        <v>14</v>
      </c>
      <c r="E7">
        <f t="shared" ca="1" si="3"/>
        <v>73</v>
      </c>
      <c r="F7">
        <f t="shared" ca="1" si="4"/>
        <v>1</v>
      </c>
      <c r="H7" s="3">
        <f t="shared" ca="1" si="5"/>
        <v>0</v>
      </c>
      <c r="I7" s="3">
        <f t="shared" ca="1" si="0"/>
        <v>0.7</v>
      </c>
      <c r="J7" s="3">
        <f t="shared" ca="1" si="0"/>
        <v>0.73</v>
      </c>
      <c r="K7" s="3">
        <f t="shared" ca="1" si="0"/>
        <v>1</v>
      </c>
      <c r="M7" s="3" t="b">
        <f t="shared" ca="1" si="6"/>
        <v>1</v>
      </c>
    </row>
    <row r="8" spans="1:13" x14ac:dyDescent="0.2">
      <c r="A8" s="1" t="s">
        <v>11</v>
      </c>
      <c r="B8" t="s">
        <v>12</v>
      </c>
      <c r="C8">
        <f t="shared" ca="1" si="1"/>
        <v>1</v>
      </c>
      <c r="D8">
        <f t="shared" ca="1" si="2"/>
        <v>14</v>
      </c>
      <c r="E8">
        <f t="shared" ca="1" si="3"/>
        <v>94</v>
      </c>
      <c r="F8">
        <f t="shared" ca="1" si="4"/>
        <v>0</v>
      </c>
      <c r="H8" s="3">
        <f t="shared" ca="1" si="5"/>
        <v>0.1</v>
      </c>
      <c r="I8" s="3">
        <f t="shared" ca="1" si="0"/>
        <v>0.7</v>
      </c>
      <c r="J8" s="3">
        <f t="shared" ca="1" si="0"/>
        <v>0.94</v>
      </c>
      <c r="K8" s="3">
        <f t="shared" ca="1" si="0"/>
        <v>0</v>
      </c>
      <c r="M8" s="3" t="b">
        <f t="shared" ca="1" si="6"/>
        <v>1</v>
      </c>
    </row>
    <row r="9" spans="1:13" x14ac:dyDescent="0.2">
      <c r="A9" s="1" t="s">
        <v>13</v>
      </c>
      <c r="B9" t="s">
        <v>14</v>
      </c>
      <c r="C9">
        <f t="shared" ca="1" si="1"/>
        <v>6</v>
      </c>
      <c r="D9">
        <f t="shared" ca="1" si="2"/>
        <v>19</v>
      </c>
      <c r="E9">
        <f t="shared" ca="1" si="3"/>
        <v>48</v>
      </c>
      <c r="F9">
        <f t="shared" ca="1" si="4"/>
        <v>0</v>
      </c>
      <c r="H9" s="3">
        <f t="shared" ca="1" si="5"/>
        <v>0.6</v>
      </c>
      <c r="I9" s="3">
        <f t="shared" ca="1" si="0"/>
        <v>0.95</v>
      </c>
      <c r="J9" s="3">
        <f t="shared" ca="1" si="0"/>
        <v>0.48</v>
      </c>
      <c r="K9" s="3">
        <f t="shared" ca="1" si="0"/>
        <v>0</v>
      </c>
      <c r="M9" s="3" t="b">
        <f t="shared" ca="1" si="6"/>
        <v>1</v>
      </c>
    </row>
    <row r="10" spans="1:13" x14ac:dyDescent="0.2">
      <c r="A10" s="1" t="s">
        <v>15</v>
      </c>
      <c r="B10" t="s">
        <v>16</v>
      </c>
      <c r="C10">
        <f t="shared" ca="1" si="1"/>
        <v>3</v>
      </c>
      <c r="D10">
        <f t="shared" ca="1" si="2"/>
        <v>14</v>
      </c>
      <c r="E10">
        <f t="shared" ca="1" si="3"/>
        <v>55</v>
      </c>
      <c r="F10">
        <f t="shared" ca="1" si="4"/>
        <v>0</v>
      </c>
      <c r="H10" s="3">
        <f t="shared" ca="1" si="5"/>
        <v>0.3</v>
      </c>
      <c r="I10" s="3">
        <f t="shared" ca="1" si="0"/>
        <v>0.7</v>
      </c>
      <c r="J10" s="3">
        <f t="shared" ca="1" si="0"/>
        <v>0.55000000000000004</v>
      </c>
      <c r="K10" s="3">
        <f t="shared" ca="1" si="0"/>
        <v>0</v>
      </c>
      <c r="M10" s="3" t="b">
        <f t="shared" ca="1" si="6"/>
        <v>1</v>
      </c>
    </row>
    <row r="11" spans="1:13" x14ac:dyDescent="0.2">
      <c r="A11" s="1" t="s">
        <v>17</v>
      </c>
      <c r="B11" t="s">
        <v>18</v>
      </c>
      <c r="C11">
        <f t="shared" ca="1" si="1"/>
        <v>7</v>
      </c>
      <c r="D11">
        <f t="shared" ca="1" si="2"/>
        <v>2</v>
      </c>
      <c r="E11">
        <f t="shared" ca="1" si="3"/>
        <v>92</v>
      </c>
      <c r="F11">
        <f t="shared" ca="1" si="4"/>
        <v>0</v>
      </c>
      <c r="H11" s="3">
        <f t="shared" ca="1" si="5"/>
        <v>0.7</v>
      </c>
      <c r="I11" s="3">
        <f t="shared" ca="1" si="0"/>
        <v>0.1</v>
      </c>
      <c r="J11" s="3">
        <f t="shared" ca="1" si="0"/>
        <v>0.92</v>
      </c>
      <c r="K11" s="3">
        <f t="shared" ca="1" si="0"/>
        <v>0</v>
      </c>
      <c r="M11" s="3" t="b">
        <f t="shared" ca="1" si="6"/>
        <v>1</v>
      </c>
    </row>
    <row r="12" spans="1:13" x14ac:dyDescent="0.2">
      <c r="A12" s="1" t="s">
        <v>19</v>
      </c>
      <c r="B12" t="s">
        <v>20</v>
      </c>
      <c r="C12">
        <f t="shared" ca="1" si="1"/>
        <v>2</v>
      </c>
      <c r="D12">
        <f t="shared" ca="1" si="2"/>
        <v>10</v>
      </c>
      <c r="E12">
        <f t="shared" ca="1" si="3"/>
        <v>34</v>
      </c>
      <c r="F12">
        <f t="shared" ca="1" si="4"/>
        <v>0</v>
      </c>
      <c r="H12" s="3">
        <f t="shared" ca="1" si="5"/>
        <v>0.2</v>
      </c>
      <c r="I12" s="3">
        <f t="shared" ca="1" si="0"/>
        <v>0.5</v>
      </c>
      <c r="J12" s="3">
        <f t="shared" ca="1" si="0"/>
        <v>0.34</v>
      </c>
      <c r="K12" s="3">
        <f t="shared" ca="1" si="0"/>
        <v>0</v>
      </c>
      <c r="M12" s="3" t="b">
        <f t="shared" ca="1" si="6"/>
        <v>1</v>
      </c>
    </row>
    <row r="13" spans="1:13" x14ac:dyDescent="0.2">
      <c r="A13" s="1" t="s">
        <v>21</v>
      </c>
      <c r="B13" t="s">
        <v>22</v>
      </c>
      <c r="C13">
        <f t="shared" ca="1" si="1"/>
        <v>1</v>
      </c>
      <c r="D13">
        <f t="shared" ca="1" si="2"/>
        <v>2</v>
      </c>
      <c r="E13">
        <f t="shared" ca="1" si="3"/>
        <v>51</v>
      </c>
      <c r="F13">
        <f t="shared" ca="1" si="4"/>
        <v>0</v>
      </c>
      <c r="H13" s="3">
        <f t="shared" ca="1" si="5"/>
        <v>0.1</v>
      </c>
      <c r="I13" s="3">
        <f t="shared" ca="1" si="0"/>
        <v>0.1</v>
      </c>
      <c r="J13" s="3">
        <f t="shared" ca="1" si="0"/>
        <v>0.51</v>
      </c>
      <c r="K13" s="3">
        <f t="shared" ca="1" si="0"/>
        <v>0</v>
      </c>
      <c r="M13" s="3" t="b">
        <f t="shared" ca="1" si="6"/>
        <v>1</v>
      </c>
    </row>
    <row r="14" spans="1:13" x14ac:dyDescent="0.2">
      <c r="A14" s="1" t="s">
        <v>23</v>
      </c>
      <c r="B14" t="s">
        <v>24</v>
      </c>
      <c r="C14">
        <f t="shared" ca="1" si="1"/>
        <v>7</v>
      </c>
      <c r="D14">
        <f t="shared" ca="1" si="2"/>
        <v>20</v>
      </c>
      <c r="E14">
        <f t="shared" ca="1" si="3"/>
        <v>22</v>
      </c>
      <c r="F14">
        <f t="shared" ca="1" si="4"/>
        <v>0</v>
      </c>
      <c r="H14" s="3">
        <f t="shared" ca="1" si="5"/>
        <v>0.7</v>
      </c>
      <c r="I14" s="3">
        <f t="shared" ca="1" si="0"/>
        <v>1</v>
      </c>
      <c r="J14" s="3">
        <f t="shared" ca="1" si="0"/>
        <v>0.22</v>
      </c>
      <c r="K14" s="3">
        <f t="shared" ca="1" si="0"/>
        <v>0</v>
      </c>
      <c r="M14" s="3" t="b">
        <f t="shared" ca="1" si="6"/>
        <v>1</v>
      </c>
    </row>
    <row r="15" spans="1:13" x14ac:dyDescent="0.2">
      <c r="A15" s="1" t="s">
        <v>25</v>
      </c>
      <c r="B15" t="s">
        <v>26</v>
      </c>
      <c r="C15">
        <f t="shared" ca="1" si="1"/>
        <v>6</v>
      </c>
      <c r="D15">
        <f t="shared" ca="1" si="2"/>
        <v>13</v>
      </c>
      <c r="E15">
        <f t="shared" ca="1" si="3"/>
        <v>50</v>
      </c>
      <c r="F15">
        <f t="shared" ca="1" si="4"/>
        <v>1</v>
      </c>
      <c r="H15" s="3">
        <f t="shared" ca="1" si="5"/>
        <v>0.6</v>
      </c>
      <c r="I15" s="3">
        <f t="shared" ca="1" si="0"/>
        <v>0.65</v>
      </c>
      <c r="J15" s="3">
        <f t="shared" ca="1" si="0"/>
        <v>0.5</v>
      </c>
      <c r="K15" s="3">
        <f t="shared" ca="1" si="0"/>
        <v>1</v>
      </c>
      <c r="M15" s="3" t="b">
        <f t="shared" ca="1" si="6"/>
        <v>0</v>
      </c>
    </row>
    <row r="16" spans="1:13" x14ac:dyDescent="0.2">
      <c r="A16" s="1" t="s">
        <v>27</v>
      </c>
      <c r="B16" t="s">
        <v>28</v>
      </c>
      <c r="C16">
        <f t="shared" ca="1" si="1"/>
        <v>1</v>
      </c>
      <c r="D16">
        <f t="shared" ca="1" si="2"/>
        <v>16</v>
      </c>
      <c r="E16">
        <f t="shared" ca="1" si="3"/>
        <v>79</v>
      </c>
      <c r="F16">
        <f t="shared" ca="1" si="4"/>
        <v>0</v>
      </c>
      <c r="H16" s="3">
        <f t="shared" ca="1" si="5"/>
        <v>0.1</v>
      </c>
      <c r="I16" s="3">
        <f t="shared" ca="1" si="0"/>
        <v>0.8</v>
      </c>
      <c r="J16" s="3">
        <f t="shared" ca="1" si="0"/>
        <v>0.79</v>
      </c>
      <c r="K16" s="3">
        <f t="shared" ca="1" si="0"/>
        <v>0</v>
      </c>
      <c r="M16" s="3" t="b">
        <f t="shared" ca="1" si="6"/>
        <v>1</v>
      </c>
    </row>
    <row r="17" spans="1:13" x14ac:dyDescent="0.2">
      <c r="A17" s="1" t="s">
        <v>29</v>
      </c>
      <c r="B17" t="s">
        <v>30</v>
      </c>
      <c r="C17">
        <f t="shared" ca="1" si="1"/>
        <v>10</v>
      </c>
      <c r="D17">
        <f t="shared" ca="1" si="2"/>
        <v>8</v>
      </c>
      <c r="E17">
        <f t="shared" ca="1" si="3"/>
        <v>42</v>
      </c>
      <c r="F17">
        <f t="shared" ca="1" si="4"/>
        <v>1</v>
      </c>
      <c r="H17" s="3">
        <f t="shared" ca="1" si="5"/>
        <v>1</v>
      </c>
      <c r="I17" s="3">
        <f t="shared" ca="1" si="0"/>
        <v>0.4</v>
      </c>
      <c r="J17" s="3">
        <f t="shared" ca="1" si="0"/>
        <v>0.42</v>
      </c>
      <c r="K17" s="3">
        <f t="shared" ca="1" si="0"/>
        <v>1</v>
      </c>
      <c r="M17" s="3" t="b">
        <f t="shared" ca="1" si="6"/>
        <v>1</v>
      </c>
    </row>
    <row r="18" spans="1:13" x14ac:dyDescent="0.2">
      <c r="A18" s="1" t="s">
        <v>31</v>
      </c>
      <c r="B18" t="s">
        <v>32</v>
      </c>
      <c r="C18">
        <f t="shared" ca="1" si="1"/>
        <v>5</v>
      </c>
      <c r="D18">
        <f t="shared" ca="1" si="2"/>
        <v>5</v>
      </c>
      <c r="E18">
        <f t="shared" ca="1" si="3"/>
        <v>20</v>
      </c>
      <c r="F18">
        <f t="shared" ca="1" si="4"/>
        <v>0</v>
      </c>
      <c r="H18" s="3">
        <f t="shared" ca="1" si="5"/>
        <v>0.5</v>
      </c>
      <c r="I18" s="3">
        <f t="shared" ca="1" si="0"/>
        <v>0.25</v>
      </c>
      <c r="J18" s="3">
        <f t="shared" ca="1" si="0"/>
        <v>0.2</v>
      </c>
      <c r="K18" s="3">
        <f t="shared" ca="1" si="0"/>
        <v>0</v>
      </c>
      <c r="M18" s="3" t="b">
        <f t="shared" ca="1" si="6"/>
        <v>1</v>
      </c>
    </row>
    <row r="19" spans="1:13" x14ac:dyDescent="0.2">
      <c r="A19" s="1" t="s">
        <v>33</v>
      </c>
      <c r="B19" t="s">
        <v>34</v>
      </c>
      <c r="C19">
        <f t="shared" ca="1" si="1"/>
        <v>7</v>
      </c>
      <c r="D19">
        <f t="shared" ca="1" si="2"/>
        <v>1</v>
      </c>
      <c r="E19">
        <f t="shared" ca="1" si="3"/>
        <v>79</v>
      </c>
      <c r="F19">
        <f t="shared" ca="1" si="4"/>
        <v>1</v>
      </c>
      <c r="H19" s="3">
        <f t="shared" ca="1" si="5"/>
        <v>0.7</v>
      </c>
      <c r="I19" s="3">
        <f t="shared" ca="1" si="0"/>
        <v>0.05</v>
      </c>
      <c r="J19" s="3">
        <f t="shared" ca="1" si="0"/>
        <v>0.79</v>
      </c>
      <c r="K19" s="3">
        <f t="shared" ca="1" si="0"/>
        <v>1</v>
      </c>
      <c r="M19" s="3" t="b">
        <f t="shared" ca="1" si="6"/>
        <v>1</v>
      </c>
    </row>
    <row r="20" spans="1:13" x14ac:dyDescent="0.2">
      <c r="A20" s="1" t="s">
        <v>35</v>
      </c>
      <c r="B20" t="s">
        <v>36</v>
      </c>
      <c r="C20">
        <f t="shared" ca="1" si="1"/>
        <v>4</v>
      </c>
      <c r="D20">
        <f t="shared" ca="1" si="2"/>
        <v>19</v>
      </c>
      <c r="E20">
        <f t="shared" ca="1" si="3"/>
        <v>54</v>
      </c>
      <c r="F20">
        <f t="shared" ca="1" si="4"/>
        <v>0</v>
      </c>
      <c r="H20" s="3">
        <f t="shared" ca="1" si="5"/>
        <v>0.4</v>
      </c>
      <c r="I20" s="3">
        <f t="shared" ref="I20:I43" ca="1" si="7">D20/D$2</f>
        <v>0.95</v>
      </c>
      <c r="J20" s="3">
        <f t="shared" ref="J20:J43" ca="1" si="8">E20/E$2</f>
        <v>0.54</v>
      </c>
      <c r="K20" s="3">
        <f t="shared" ref="K20:K43" ca="1" si="9">F20/F$2</f>
        <v>0</v>
      </c>
      <c r="M20" s="3" t="b">
        <f t="shared" ca="1" si="6"/>
        <v>1</v>
      </c>
    </row>
    <row r="21" spans="1:13" x14ac:dyDescent="0.2">
      <c r="A21" s="1" t="s">
        <v>37</v>
      </c>
      <c r="B21" t="s">
        <v>38</v>
      </c>
      <c r="C21">
        <f t="shared" ca="1" si="1"/>
        <v>4</v>
      </c>
      <c r="D21">
        <f t="shared" ca="1" si="2"/>
        <v>2</v>
      </c>
      <c r="E21">
        <f t="shared" ca="1" si="3"/>
        <v>6</v>
      </c>
      <c r="F21">
        <f t="shared" ca="1" si="4"/>
        <v>1</v>
      </c>
      <c r="H21" s="3">
        <f t="shared" ca="1" si="5"/>
        <v>0.4</v>
      </c>
      <c r="I21" s="3">
        <f t="shared" ca="1" si="7"/>
        <v>0.1</v>
      </c>
      <c r="J21" s="3">
        <f t="shared" ca="1" si="8"/>
        <v>0.06</v>
      </c>
      <c r="K21" s="3">
        <f t="shared" ca="1" si="9"/>
        <v>1</v>
      </c>
      <c r="M21" s="3" t="b">
        <f t="shared" ca="1" si="6"/>
        <v>1</v>
      </c>
    </row>
    <row r="22" spans="1:13" x14ac:dyDescent="0.2">
      <c r="A22" s="1" t="s">
        <v>39</v>
      </c>
      <c r="B22" t="s">
        <v>40</v>
      </c>
      <c r="C22">
        <f t="shared" ca="1" si="1"/>
        <v>9</v>
      </c>
      <c r="D22">
        <f t="shared" ca="1" si="2"/>
        <v>11</v>
      </c>
      <c r="E22">
        <f t="shared" ca="1" si="3"/>
        <v>7</v>
      </c>
      <c r="F22">
        <f t="shared" ca="1" si="4"/>
        <v>0</v>
      </c>
      <c r="H22" s="3">
        <f t="shared" ca="1" si="5"/>
        <v>0.9</v>
      </c>
      <c r="I22" s="3">
        <f t="shared" ca="1" si="7"/>
        <v>0.55000000000000004</v>
      </c>
      <c r="J22" s="3">
        <f t="shared" ca="1" si="8"/>
        <v>7.0000000000000007E-2</v>
      </c>
      <c r="K22" s="3">
        <f t="shared" ca="1" si="9"/>
        <v>0</v>
      </c>
      <c r="M22" s="3" t="b">
        <f t="shared" ca="1" si="6"/>
        <v>1</v>
      </c>
    </row>
    <row r="23" spans="1:13" x14ac:dyDescent="0.2">
      <c r="A23" s="1" t="s">
        <v>41</v>
      </c>
      <c r="B23" t="s">
        <v>42</v>
      </c>
      <c r="C23">
        <f t="shared" ca="1" si="1"/>
        <v>6</v>
      </c>
      <c r="D23">
        <f t="shared" ca="1" si="2"/>
        <v>1</v>
      </c>
      <c r="E23">
        <f t="shared" ca="1" si="3"/>
        <v>11</v>
      </c>
      <c r="F23">
        <f t="shared" ca="1" si="4"/>
        <v>1</v>
      </c>
      <c r="H23" s="3">
        <f t="shared" ca="1" si="5"/>
        <v>0.6</v>
      </c>
      <c r="I23" s="3">
        <f t="shared" ca="1" si="7"/>
        <v>0.05</v>
      </c>
      <c r="J23" s="3">
        <f t="shared" ca="1" si="8"/>
        <v>0.11</v>
      </c>
      <c r="K23" s="3">
        <f t="shared" ca="1" si="9"/>
        <v>1</v>
      </c>
      <c r="M23" s="3" t="b">
        <f t="shared" ca="1" si="6"/>
        <v>1</v>
      </c>
    </row>
    <row r="24" spans="1:13" x14ac:dyDescent="0.2">
      <c r="A24" s="1" t="s">
        <v>43</v>
      </c>
      <c r="B24" t="s">
        <v>44</v>
      </c>
      <c r="C24">
        <f t="shared" ca="1" si="1"/>
        <v>2</v>
      </c>
      <c r="D24">
        <f t="shared" ca="1" si="2"/>
        <v>5</v>
      </c>
      <c r="E24">
        <f t="shared" ca="1" si="3"/>
        <v>100</v>
      </c>
      <c r="F24">
        <f t="shared" ca="1" si="4"/>
        <v>1</v>
      </c>
      <c r="H24" s="3">
        <f t="shared" ca="1" si="5"/>
        <v>0.2</v>
      </c>
      <c r="I24" s="3">
        <f t="shared" ca="1" si="7"/>
        <v>0.25</v>
      </c>
      <c r="J24" s="3">
        <f t="shared" ca="1" si="8"/>
        <v>1</v>
      </c>
      <c r="K24" s="3">
        <f t="shared" ca="1" si="9"/>
        <v>1</v>
      </c>
      <c r="M24" s="3" t="b">
        <f t="shared" ca="1" si="6"/>
        <v>1</v>
      </c>
    </row>
    <row r="25" spans="1:13" x14ac:dyDescent="0.2">
      <c r="A25" s="1" t="s">
        <v>45</v>
      </c>
      <c r="B25" t="s">
        <v>46</v>
      </c>
      <c r="C25">
        <f t="shared" ca="1" si="1"/>
        <v>6</v>
      </c>
      <c r="D25">
        <f t="shared" ca="1" si="2"/>
        <v>15</v>
      </c>
      <c r="E25">
        <f t="shared" ca="1" si="3"/>
        <v>92</v>
      </c>
      <c r="F25">
        <f t="shared" ca="1" si="4"/>
        <v>0</v>
      </c>
      <c r="H25" s="3">
        <f t="shared" ca="1" si="5"/>
        <v>0.6</v>
      </c>
      <c r="I25" s="3">
        <f t="shared" ca="1" si="7"/>
        <v>0.75</v>
      </c>
      <c r="J25" s="3">
        <f t="shared" ca="1" si="8"/>
        <v>0.92</v>
      </c>
      <c r="K25" s="3">
        <f t="shared" ca="1" si="9"/>
        <v>0</v>
      </c>
      <c r="M25" s="3" t="b">
        <f t="shared" ca="1" si="6"/>
        <v>1</v>
      </c>
    </row>
    <row r="26" spans="1:13" x14ac:dyDescent="0.2">
      <c r="A26" s="1" t="s">
        <v>47</v>
      </c>
      <c r="B26" t="s">
        <v>48</v>
      </c>
      <c r="C26">
        <f t="shared" ca="1" si="1"/>
        <v>8</v>
      </c>
      <c r="D26">
        <f t="shared" ca="1" si="2"/>
        <v>2</v>
      </c>
      <c r="E26">
        <f t="shared" ca="1" si="3"/>
        <v>76</v>
      </c>
      <c r="F26">
        <f t="shared" ca="1" si="4"/>
        <v>0</v>
      </c>
      <c r="H26" s="3">
        <f t="shared" ca="1" si="5"/>
        <v>0.8</v>
      </c>
      <c r="I26" s="3">
        <f t="shared" ca="1" si="7"/>
        <v>0.1</v>
      </c>
      <c r="J26" s="3">
        <f t="shared" ca="1" si="8"/>
        <v>0.76</v>
      </c>
      <c r="K26" s="3">
        <f t="shared" ca="1" si="9"/>
        <v>0</v>
      </c>
      <c r="M26" s="3" t="b">
        <f t="shared" ca="1" si="6"/>
        <v>1</v>
      </c>
    </row>
    <row r="27" spans="1:13" x14ac:dyDescent="0.2">
      <c r="A27" s="1" t="s">
        <v>49</v>
      </c>
      <c r="B27" t="s">
        <v>50</v>
      </c>
      <c r="C27">
        <f t="shared" ca="1" si="1"/>
        <v>3</v>
      </c>
      <c r="D27">
        <f t="shared" ca="1" si="2"/>
        <v>14</v>
      </c>
      <c r="E27">
        <f t="shared" ca="1" si="3"/>
        <v>100</v>
      </c>
      <c r="F27">
        <f t="shared" ca="1" si="4"/>
        <v>1</v>
      </c>
      <c r="H27" s="3">
        <f t="shared" ca="1" si="5"/>
        <v>0.3</v>
      </c>
      <c r="I27" s="3">
        <f t="shared" ca="1" si="7"/>
        <v>0.7</v>
      </c>
      <c r="J27" s="3">
        <f t="shared" ca="1" si="8"/>
        <v>1</v>
      </c>
      <c r="K27" s="3">
        <f t="shared" ca="1" si="9"/>
        <v>1</v>
      </c>
      <c r="M27" s="3" t="b">
        <f t="shared" ca="1" si="6"/>
        <v>1</v>
      </c>
    </row>
    <row r="28" spans="1:13" x14ac:dyDescent="0.2">
      <c r="A28" s="1" t="s">
        <v>51</v>
      </c>
      <c r="B28" t="s">
        <v>52</v>
      </c>
      <c r="C28">
        <f t="shared" ca="1" si="1"/>
        <v>7</v>
      </c>
      <c r="D28">
        <f t="shared" ca="1" si="2"/>
        <v>18</v>
      </c>
      <c r="E28">
        <f t="shared" ca="1" si="3"/>
        <v>20</v>
      </c>
      <c r="F28">
        <f t="shared" ca="1" si="4"/>
        <v>0</v>
      </c>
      <c r="H28" s="3">
        <f t="shared" ca="1" si="5"/>
        <v>0.7</v>
      </c>
      <c r="I28" s="3">
        <f t="shared" ca="1" si="7"/>
        <v>0.9</v>
      </c>
      <c r="J28" s="3">
        <f t="shared" ca="1" si="8"/>
        <v>0.2</v>
      </c>
      <c r="K28" s="3">
        <f t="shared" ca="1" si="9"/>
        <v>0</v>
      </c>
      <c r="M28" s="3" t="b">
        <f t="shared" ca="1" si="6"/>
        <v>1</v>
      </c>
    </row>
    <row r="29" spans="1:13" x14ac:dyDescent="0.2">
      <c r="A29" s="1" t="s">
        <v>53</v>
      </c>
      <c r="B29" t="s">
        <v>54</v>
      </c>
      <c r="C29">
        <f t="shared" ca="1" si="1"/>
        <v>10</v>
      </c>
      <c r="D29">
        <f t="shared" ca="1" si="2"/>
        <v>2</v>
      </c>
      <c r="E29">
        <f t="shared" ca="1" si="3"/>
        <v>81</v>
      </c>
      <c r="F29">
        <f t="shared" ca="1" si="4"/>
        <v>0</v>
      </c>
      <c r="H29" s="3">
        <f t="shared" ca="1" si="5"/>
        <v>1</v>
      </c>
      <c r="I29" s="3">
        <f t="shared" ca="1" si="7"/>
        <v>0.1</v>
      </c>
      <c r="J29" s="3">
        <f t="shared" ca="1" si="8"/>
        <v>0.81</v>
      </c>
      <c r="K29" s="3">
        <f t="shared" ca="1" si="9"/>
        <v>0</v>
      </c>
      <c r="M29" s="3" t="b">
        <f t="shared" ca="1" si="6"/>
        <v>1</v>
      </c>
    </row>
    <row r="30" spans="1:13" x14ac:dyDescent="0.2">
      <c r="A30" s="1" t="s">
        <v>55</v>
      </c>
      <c r="B30" t="s">
        <v>56</v>
      </c>
      <c r="C30">
        <f t="shared" ca="1" si="1"/>
        <v>3</v>
      </c>
      <c r="D30">
        <f t="shared" ca="1" si="2"/>
        <v>17</v>
      </c>
      <c r="E30">
        <f t="shared" ca="1" si="3"/>
        <v>21</v>
      </c>
      <c r="F30">
        <f t="shared" ca="1" si="4"/>
        <v>1</v>
      </c>
      <c r="H30" s="3">
        <f t="shared" ca="1" si="5"/>
        <v>0.3</v>
      </c>
      <c r="I30" s="3">
        <f t="shared" ca="1" si="7"/>
        <v>0.85</v>
      </c>
      <c r="J30" s="3">
        <f t="shared" ca="1" si="8"/>
        <v>0.21</v>
      </c>
      <c r="K30" s="3">
        <f t="shared" ca="1" si="9"/>
        <v>1</v>
      </c>
      <c r="M30" s="3" t="b">
        <f t="shared" ca="1" si="6"/>
        <v>1</v>
      </c>
    </row>
    <row r="31" spans="1:13" x14ac:dyDescent="0.2">
      <c r="A31" s="1" t="s">
        <v>57</v>
      </c>
      <c r="B31" t="s">
        <v>58</v>
      </c>
      <c r="C31">
        <f t="shared" ca="1" si="1"/>
        <v>8</v>
      </c>
      <c r="D31">
        <f t="shared" ca="1" si="2"/>
        <v>11</v>
      </c>
      <c r="E31">
        <f t="shared" ca="1" si="3"/>
        <v>1</v>
      </c>
      <c r="F31">
        <f t="shared" ca="1" si="4"/>
        <v>1</v>
      </c>
      <c r="H31" s="3">
        <f t="shared" ca="1" si="5"/>
        <v>0.8</v>
      </c>
      <c r="I31" s="3">
        <f t="shared" ca="1" si="7"/>
        <v>0.55000000000000004</v>
      </c>
      <c r="J31" s="3">
        <f t="shared" ca="1" si="8"/>
        <v>0.01</v>
      </c>
      <c r="K31" s="3">
        <f t="shared" ca="1" si="9"/>
        <v>1</v>
      </c>
      <c r="M31" s="3" t="b">
        <f t="shared" ca="1" si="6"/>
        <v>1</v>
      </c>
    </row>
    <row r="32" spans="1:13" x14ac:dyDescent="0.2">
      <c r="A32" s="1" t="s">
        <v>59</v>
      </c>
      <c r="B32" t="s">
        <v>60</v>
      </c>
      <c r="C32">
        <f t="shared" ca="1" si="1"/>
        <v>9</v>
      </c>
      <c r="D32">
        <f t="shared" ca="1" si="2"/>
        <v>6</v>
      </c>
      <c r="E32">
        <f t="shared" ca="1" si="3"/>
        <v>87</v>
      </c>
      <c r="F32">
        <f t="shared" ca="1" si="4"/>
        <v>0</v>
      </c>
      <c r="H32" s="3">
        <f t="shared" ca="1" si="5"/>
        <v>0.9</v>
      </c>
      <c r="I32" s="3">
        <f t="shared" ca="1" si="7"/>
        <v>0.3</v>
      </c>
      <c r="J32" s="3">
        <f t="shared" ca="1" si="8"/>
        <v>0.87</v>
      </c>
      <c r="K32" s="3">
        <f t="shared" ca="1" si="9"/>
        <v>0</v>
      </c>
      <c r="M32" s="3" t="b">
        <f t="shared" ca="1" si="6"/>
        <v>1</v>
      </c>
    </row>
    <row r="33" spans="1:13" x14ac:dyDescent="0.2">
      <c r="A33" s="1" t="s">
        <v>61</v>
      </c>
      <c r="B33" t="s">
        <v>62</v>
      </c>
      <c r="C33">
        <f t="shared" ca="1" si="1"/>
        <v>3</v>
      </c>
      <c r="D33">
        <f t="shared" ca="1" si="2"/>
        <v>7</v>
      </c>
      <c r="E33">
        <f t="shared" ca="1" si="3"/>
        <v>76</v>
      </c>
      <c r="F33">
        <f t="shared" ca="1" si="4"/>
        <v>0</v>
      </c>
      <c r="H33" s="3">
        <f t="shared" ca="1" si="5"/>
        <v>0.3</v>
      </c>
      <c r="I33" s="3">
        <f t="shared" ca="1" si="7"/>
        <v>0.35</v>
      </c>
      <c r="J33" s="3">
        <f t="shared" ca="1" si="8"/>
        <v>0.76</v>
      </c>
      <c r="K33" s="3">
        <f t="shared" ca="1" si="9"/>
        <v>0</v>
      </c>
      <c r="M33" s="3" t="b">
        <f t="shared" ca="1" si="6"/>
        <v>1</v>
      </c>
    </row>
    <row r="34" spans="1:13" x14ac:dyDescent="0.2">
      <c r="A34" s="1" t="s">
        <v>63</v>
      </c>
      <c r="B34" t="s">
        <v>64</v>
      </c>
      <c r="C34">
        <f t="shared" ca="1" si="1"/>
        <v>4</v>
      </c>
      <c r="D34">
        <f t="shared" ca="1" si="2"/>
        <v>3</v>
      </c>
      <c r="E34">
        <f t="shared" ca="1" si="3"/>
        <v>98</v>
      </c>
      <c r="F34">
        <f t="shared" ca="1" si="4"/>
        <v>1</v>
      </c>
      <c r="H34" s="3">
        <f t="shared" ca="1" si="5"/>
        <v>0.4</v>
      </c>
      <c r="I34" s="3">
        <f t="shared" ca="1" si="7"/>
        <v>0.15</v>
      </c>
      <c r="J34" s="3">
        <f t="shared" ca="1" si="8"/>
        <v>0.98</v>
      </c>
      <c r="K34" s="3">
        <f t="shared" ca="1" si="9"/>
        <v>1</v>
      </c>
      <c r="M34" s="3" t="b">
        <f t="shared" ca="1" si="6"/>
        <v>1</v>
      </c>
    </row>
    <row r="35" spans="1:13" x14ac:dyDescent="0.2">
      <c r="A35" s="1" t="s">
        <v>21</v>
      </c>
      <c r="B35" t="s">
        <v>65</v>
      </c>
      <c r="C35">
        <f t="shared" ca="1" si="1"/>
        <v>8</v>
      </c>
      <c r="D35">
        <f t="shared" ca="1" si="2"/>
        <v>2</v>
      </c>
      <c r="E35">
        <f t="shared" ca="1" si="3"/>
        <v>81</v>
      </c>
      <c r="F35">
        <f t="shared" ca="1" si="4"/>
        <v>0</v>
      </c>
      <c r="H35" s="3">
        <f t="shared" ca="1" si="5"/>
        <v>0.8</v>
      </c>
      <c r="I35" s="3">
        <f t="shared" ca="1" si="7"/>
        <v>0.1</v>
      </c>
      <c r="J35" s="3">
        <f t="shared" ca="1" si="8"/>
        <v>0.81</v>
      </c>
      <c r="K35" s="3">
        <f t="shared" ca="1" si="9"/>
        <v>0</v>
      </c>
      <c r="M35" s="3" t="b">
        <f t="shared" ca="1" si="6"/>
        <v>1</v>
      </c>
    </row>
    <row r="36" spans="1:13" x14ac:dyDescent="0.2">
      <c r="A36" s="1" t="s">
        <v>66</v>
      </c>
      <c r="B36" t="s">
        <v>67</v>
      </c>
      <c r="C36">
        <f t="shared" ca="1" si="1"/>
        <v>1</v>
      </c>
      <c r="D36">
        <f t="shared" ca="1" si="2"/>
        <v>12</v>
      </c>
      <c r="E36">
        <f t="shared" ca="1" si="3"/>
        <v>56</v>
      </c>
      <c r="F36">
        <f t="shared" ca="1" si="4"/>
        <v>1</v>
      </c>
      <c r="H36" s="3">
        <f t="shared" ca="1" si="5"/>
        <v>0.1</v>
      </c>
      <c r="I36" s="3">
        <f t="shared" ca="1" si="7"/>
        <v>0.6</v>
      </c>
      <c r="J36" s="3">
        <f t="shared" ca="1" si="8"/>
        <v>0.56000000000000005</v>
      </c>
      <c r="K36" s="3">
        <f t="shared" ca="1" si="9"/>
        <v>1</v>
      </c>
      <c r="M36" s="3" t="b">
        <f t="shared" ca="1" si="6"/>
        <v>1</v>
      </c>
    </row>
    <row r="37" spans="1:13" x14ac:dyDescent="0.2">
      <c r="A37" s="1" t="s">
        <v>41</v>
      </c>
      <c r="B37" t="s">
        <v>68</v>
      </c>
      <c r="C37">
        <f t="shared" ca="1" si="1"/>
        <v>10</v>
      </c>
      <c r="D37">
        <f t="shared" ca="1" si="2"/>
        <v>10</v>
      </c>
      <c r="E37">
        <f t="shared" ca="1" si="3"/>
        <v>50</v>
      </c>
      <c r="F37">
        <f t="shared" ca="1" si="4"/>
        <v>1</v>
      </c>
      <c r="H37" s="3">
        <f t="shared" ca="1" si="5"/>
        <v>1</v>
      </c>
      <c r="I37" s="3">
        <f t="shared" ca="1" si="7"/>
        <v>0.5</v>
      </c>
      <c r="J37" s="3">
        <f t="shared" ca="1" si="8"/>
        <v>0.5</v>
      </c>
      <c r="K37" s="3">
        <f t="shared" ca="1" si="9"/>
        <v>1</v>
      </c>
      <c r="M37" s="3" t="b">
        <f t="shared" ca="1" si="6"/>
        <v>0</v>
      </c>
    </row>
    <row r="38" spans="1:13" x14ac:dyDescent="0.2">
      <c r="A38" s="1" t="s">
        <v>69</v>
      </c>
      <c r="B38" t="s">
        <v>34</v>
      </c>
      <c r="C38">
        <f t="shared" ca="1" si="1"/>
        <v>3</v>
      </c>
      <c r="D38">
        <f t="shared" ca="1" si="2"/>
        <v>9</v>
      </c>
      <c r="E38">
        <f t="shared" ca="1" si="3"/>
        <v>57</v>
      </c>
      <c r="F38">
        <f t="shared" ca="1" si="4"/>
        <v>0</v>
      </c>
      <c r="H38" s="3">
        <f t="shared" ca="1" si="5"/>
        <v>0.3</v>
      </c>
      <c r="I38" s="3">
        <f t="shared" ca="1" si="7"/>
        <v>0.45</v>
      </c>
      <c r="J38" s="3">
        <f t="shared" ca="1" si="8"/>
        <v>0.56999999999999995</v>
      </c>
      <c r="K38" s="3">
        <f t="shared" ca="1" si="9"/>
        <v>0</v>
      </c>
      <c r="M38" s="3" t="b">
        <f t="shared" ca="1" si="6"/>
        <v>1</v>
      </c>
    </row>
    <row r="39" spans="1:13" x14ac:dyDescent="0.2">
      <c r="A39" s="1" t="s">
        <v>49</v>
      </c>
      <c r="B39" t="s">
        <v>28</v>
      </c>
      <c r="C39">
        <f t="shared" ca="1" si="1"/>
        <v>7</v>
      </c>
      <c r="D39">
        <f t="shared" ca="1" si="2"/>
        <v>18</v>
      </c>
      <c r="E39">
        <f t="shared" ca="1" si="3"/>
        <v>31</v>
      </c>
      <c r="F39">
        <f t="shared" ca="1" si="4"/>
        <v>0</v>
      </c>
      <c r="H39" s="3">
        <f t="shared" ca="1" si="5"/>
        <v>0.7</v>
      </c>
      <c r="I39" s="3">
        <f t="shared" ca="1" si="7"/>
        <v>0.9</v>
      </c>
      <c r="J39" s="3">
        <f t="shared" ca="1" si="8"/>
        <v>0.31</v>
      </c>
      <c r="K39" s="3">
        <f t="shared" ca="1" si="9"/>
        <v>0</v>
      </c>
      <c r="M39" s="3" t="b">
        <f t="shared" ca="1" si="6"/>
        <v>1</v>
      </c>
    </row>
    <row r="40" spans="1:13" x14ac:dyDescent="0.2">
      <c r="A40" s="1" t="s">
        <v>70</v>
      </c>
      <c r="B40" t="s">
        <v>71</v>
      </c>
      <c r="C40">
        <f t="shared" ca="1" si="1"/>
        <v>6</v>
      </c>
      <c r="D40">
        <f t="shared" ca="1" si="2"/>
        <v>12</v>
      </c>
      <c r="E40">
        <f t="shared" ca="1" si="3"/>
        <v>3</v>
      </c>
      <c r="F40">
        <f t="shared" ca="1" si="4"/>
        <v>0</v>
      </c>
      <c r="H40" s="3">
        <f t="shared" ca="1" si="5"/>
        <v>0.6</v>
      </c>
      <c r="I40" s="3">
        <f t="shared" ca="1" si="7"/>
        <v>0.6</v>
      </c>
      <c r="J40" s="3">
        <f t="shared" ca="1" si="8"/>
        <v>0.03</v>
      </c>
      <c r="K40" s="3">
        <f t="shared" ca="1" si="9"/>
        <v>0</v>
      </c>
      <c r="M40" s="3" t="b">
        <f t="shared" ca="1" si="6"/>
        <v>1</v>
      </c>
    </row>
    <row r="41" spans="1:13" x14ac:dyDescent="0.2">
      <c r="A41" s="1" t="s">
        <v>72</v>
      </c>
      <c r="B41" t="s">
        <v>73</v>
      </c>
      <c r="C41">
        <f t="shared" ca="1" si="1"/>
        <v>4</v>
      </c>
      <c r="D41">
        <f t="shared" ca="1" si="2"/>
        <v>18</v>
      </c>
      <c r="E41">
        <f t="shared" ca="1" si="3"/>
        <v>93</v>
      </c>
      <c r="F41">
        <f t="shared" ca="1" si="4"/>
        <v>0</v>
      </c>
      <c r="H41" s="3">
        <f t="shared" ca="1" si="5"/>
        <v>0.4</v>
      </c>
      <c r="I41" s="3">
        <f t="shared" ca="1" si="7"/>
        <v>0.9</v>
      </c>
      <c r="J41" s="3">
        <f t="shared" ca="1" si="8"/>
        <v>0.93</v>
      </c>
      <c r="K41" s="3">
        <f t="shared" ca="1" si="9"/>
        <v>0</v>
      </c>
      <c r="M41" s="3" t="b">
        <f t="shared" ca="1" si="6"/>
        <v>1</v>
      </c>
    </row>
    <row r="42" spans="1:13" x14ac:dyDescent="0.2">
      <c r="A42" s="1" t="s">
        <v>74</v>
      </c>
      <c r="B42" t="s">
        <v>75</v>
      </c>
      <c r="C42">
        <v>9</v>
      </c>
      <c r="D42">
        <v>19</v>
      </c>
      <c r="E42">
        <v>90</v>
      </c>
      <c r="F42">
        <v>1</v>
      </c>
      <c r="H42" s="3">
        <f t="shared" si="5"/>
        <v>0.9</v>
      </c>
      <c r="I42" s="3">
        <f t="shared" si="7"/>
        <v>0.95</v>
      </c>
      <c r="J42" s="3">
        <f t="shared" si="8"/>
        <v>0.9</v>
      </c>
      <c r="K42" s="3">
        <f t="shared" si="9"/>
        <v>1</v>
      </c>
      <c r="M42" s="3" t="b">
        <f t="shared" si="6"/>
        <v>0</v>
      </c>
    </row>
    <row r="43" spans="1:13" x14ac:dyDescent="0.2">
      <c r="A43" s="1" t="s">
        <v>76</v>
      </c>
      <c r="B43" t="s">
        <v>77</v>
      </c>
      <c r="C43">
        <f t="shared" ca="1" si="1"/>
        <v>5</v>
      </c>
      <c r="D43">
        <f t="shared" ca="1" si="2"/>
        <v>19</v>
      </c>
      <c r="E43">
        <f t="shared" ca="1" si="3"/>
        <v>12</v>
      </c>
      <c r="F43">
        <f t="shared" ca="1" si="4"/>
        <v>1</v>
      </c>
      <c r="H43" s="3">
        <f t="shared" ca="1" si="5"/>
        <v>0.5</v>
      </c>
      <c r="I43" s="3">
        <f t="shared" ca="1" si="7"/>
        <v>0.95</v>
      </c>
      <c r="J43" s="3">
        <f t="shared" ca="1" si="8"/>
        <v>0.12</v>
      </c>
      <c r="K43" s="3">
        <f t="shared" ca="1" si="9"/>
        <v>1</v>
      </c>
      <c r="M43" s="3" t="b">
        <f t="shared" ca="1" si="6"/>
        <v>1</v>
      </c>
    </row>
    <row r="45" spans="1:13" x14ac:dyDescent="0.2">
      <c r="A45" s="1" t="s">
        <v>84</v>
      </c>
      <c r="C45">
        <f ca="1">MAX(C4:C43)</f>
        <v>10</v>
      </c>
      <c r="D45">
        <f t="shared" ref="D45:F45" ca="1" si="10">MAX(D4:D43)</f>
        <v>20</v>
      </c>
      <c r="E45">
        <f t="shared" ca="1" si="10"/>
        <v>100</v>
      </c>
      <c r="F45">
        <f t="shared" ca="1" si="10"/>
        <v>1</v>
      </c>
      <c r="H45" s="3">
        <f ca="1">MAX(H4:H43)</f>
        <v>1</v>
      </c>
      <c r="I45" s="3">
        <f t="shared" ref="I45:K45" ca="1" si="11">MAX(I4:I43)</f>
        <v>1</v>
      </c>
      <c r="J45" s="3">
        <f t="shared" ca="1" si="11"/>
        <v>1</v>
      </c>
      <c r="K45" s="3">
        <f t="shared" ca="1" si="11"/>
        <v>1</v>
      </c>
    </row>
    <row r="46" spans="1:13" x14ac:dyDescent="0.2">
      <c r="A46" s="1" t="s">
        <v>85</v>
      </c>
      <c r="C46">
        <f ca="1">MIN(C4:C43)</f>
        <v>0</v>
      </c>
      <c r="D46">
        <f t="shared" ref="D46:F46" ca="1" si="12">MIN(D4:D43)</f>
        <v>1</v>
      </c>
      <c r="E46">
        <f t="shared" ca="1" si="12"/>
        <v>1</v>
      </c>
      <c r="F46">
        <f t="shared" ca="1" si="12"/>
        <v>0</v>
      </c>
      <c r="H46" s="3">
        <f ca="1">MIN(H4:H43)</f>
        <v>0</v>
      </c>
      <c r="I46" s="3">
        <f t="shared" ref="I46:K46" ca="1" si="13">MIN(I4:I43)</f>
        <v>0.05</v>
      </c>
      <c r="J46" s="3">
        <f t="shared" ca="1" si="13"/>
        <v>0.01</v>
      </c>
      <c r="K46" s="3">
        <f t="shared" ca="1" si="13"/>
        <v>0</v>
      </c>
    </row>
    <row r="47" spans="1:13" x14ac:dyDescent="0.2">
      <c r="A47" s="1" t="s">
        <v>86</v>
      </c>
      <c r="C47">
        <f ca="1">AVERAGE(C4:C43)</f>
        <v>5.125</v>
      </c>
      <c r="D47">
        <f t="shared" ref="D47:F47" ca="1" si="14">AVERAGE(D4:D43)</f>
        <v>10.225</v>
      </c>
      <c r="E47">
        <f t="shared" ca="1" si="14"/>
        <v>54.6</v>
      </c>
      <c r="F47">
        <f t="shared" ca="1" si="14"/>
        <v>0.375</v>
      </c>
      <c r="H47" s="3">
        <f ca="1">AVERAGE(H4:H43)</f>
        <v>0.51250000000000007</v>
      </c>
      <c r="I47" s="3">
        <f t="shared" ref="I47:K47" ca="1" si="15">AVERAGE(I4:I43)</f>
        <v>0.51124999999999987</v>
      </c>
      <c r="J47" s="3">
        <f t="shared" ca="1" si="15"/>
        <v>0.54599999999999993</v>
      </c>
      <c r="K47" s="3">
        <f t="shared" ca="1" si="15"/>
        <v>0.375</v>
      </c>
    </row>
  </sheetData>
  <conditionalFormatting sqref="C4:C43">
    <cfRule type="iconSet" priority="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43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43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43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43 M4:M43">
    <cfRule type="cellIs" dxfId="1" priority="3" operator="lessThan">
      <formula>0.5</formula>
    </cfRule>
  </conditionalFormatting>
  <conditionalFormatting sqref="M4:M43">
    <cfRule type="iconSet" priority="2">
      <iconSet iconSet="4TrafficLights">
        <cfvo type="percent" val="0"/>
        <cfvo type="percent" val="25"/>
        <cfvo type="percent" val="50"/>
        <cfvo type="percent" val="75"/>
      </iconSet>
    </cfRule>
    <cfRule type="cellIs" dxfId="0" priority="1" operator="equal">
      <formula>TRUE</formula>
    </cfRule>
  </conditionalFormatting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Sheet1!last_first_names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Izaq, Yosi</dc:creator>
  <cp:lastModifiedBy>Izaq, Yosi</cp:lastModifiedBy>
  <dcterms:created xsi:type="dcterms:W3CDTF">2023-10-11T14:53:07Z</dcterms:created>
  <dcterms:modified xsi:type="dcterms:W3CDTF">2023-10-15T15:06:45Z</dcterms:modified>
</cp:coreProperties>
</file>