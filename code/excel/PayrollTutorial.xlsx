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500695/Documents/"/>
    </mc:Choice>
  </mc:AlternateContent>
  <xr:revisionPtr revIDLastSave="0" documentId="8_{4648E491-B51F-6346-933E-E80A879E1DC5}" xr6:coauthVersionLast="47" xr6:coauthVersionMax="47" xr10:uidLastSave="{00000000-0000-0000-0000-000000000000}"/>
  <bookViews>
    <workbookView xWindow="0" yWindow="500" windowWidth="51200" windowHeight="28300" xr2:uid="{624312EB-7085-754B-A52C-17424A0979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6" i="1" l="1"/>
  <c r="AD5" i="1"/>
  <c r="D16" i="1"/>
  <c r="I16" i="1"/>
  <c r="N16" i="1"/>
  <c r="S16" i="1"/>
  <c r="X16" i="1"/>
  <c r="D17" i="1"/>
  <c r="I17" i="1"/>
  <c r="N17" i="1"/>
  <c r="S17" i="1"/>
  <c r="X17" i="1"/>
  <c r="D18" i="1"/>
  <c r="I18" i="1"/>
  <c r="N18" i="1"/>
  <c r="S18" i="1"/>
  <c r="X18" i="1"/>
  <c r="D19" i="1"/>
  <c r="I19" i="1"/>
  <c r="N19" i="1"/>
  <c r="S19" i="1"/>
  <c r="X19" i="1"/>
  <c r="Y5" i="1"/>
  <c r="Z5" i="1"/>
  <c r="AA5" i="1"/>
  <c r="AB5" i="1"/>
  <c r="Y6" i="1"/>
  <c r="Z6" i="1"/>
  <c r="AA6" i="1"/>
  <c r="AB6" i="1"/>
  <c r="Y4" i="1"/>
  <c r="Z4" i="1" s="1"/>
  <c r="AA4" i="1" s="1"/>
  <c r="AB4" i="1" s="1"/>
  <c r="T5" i="1"/>
  <c r="U5" i="1"/>
  <c r="V5" i="1"/>
  <c r="W5" i="1"/>
  <c r="T6" i="1"/>
  <c r="U6" i="1"/>
  <c r="V6" i="1"/>
  <c r="W6" i="1"/>
  <c r="S6" i="1"/>
  <c r="S7" i="1"/>
  <c r="S8" i="1"/>
  <c r="S9" i="1"/>
  <c r="S10" i="1"/>
  <c r="S11" i="1"/>
  <c r="S12" i="1"/>
  <c r="S5" i="1"/>
  <c r="T4" i="1"/>
  <c r="U4" i="1" s="1"/>
  <c r="V4" i="1" s="1"/>
  <c r="W4" i="1" s="1"/>
  <c r="O5" i="1"/>
  <c r="P5" i="1"/>
  <c r="Q5" i="1"/>
  <c r="R5" i="1"/>
  <c r="O6" i="1"/>
  <c r="P6" i="1"/>
  <c r="Q6" i="1"/>
  <c r="R6" i="1"/>
  <c r="N6" i="1"/>
  <c r="N7" i="1"/>
  <c r="N8" i="1"/>
  <c r="N9" i="1"/>
  <c r="N10" i="1"/>
  <c r="N11" i="1"/>
  <c r="N12" i="1"/>
  <c r="N5" i="1"/>
  <c r="O4" i="1"/>
  <c r="P4" i="1" s="1"/>
  <c r="Q4" i="1" s="1"/>
  <c r="R4" i="1" s="1"/>
  <c r="L5" i="1"/>
  <c r="J5" i="1"/>
  <c r="K5" i="1"/>
  <c r="I6" i="1"/>
  <c r="J6" i="1"/>
  <c r="K6" i="1"/>
  <c r="L6" i="1"/>
  <c r="M6" i="1"/>
  <c r="I7" i="1"/>
  <c r="I8" i="1"/>
  <c r="I9" i="1"/>
  <c r="I10" i="1"/>
  <c r="I11" i="1"/>
  <c r="I12" i="1"/>
  <c r="M5" i="1"/>
  <c r="J4" i="1"/>
  <c r="K4" i="1" s="1"/>
  <c r="L4" i="1" s="1"/>
  <c r="M4" i="1" s="1"/>
  <c r="E8" i="1"/>
  <c r="J8" i="1" s="1"/>
  <c r="T8" i="1" s="1"/>
  <c r="F8" i="1"/>
  <c r="K8" i="1" s="1"/>
  <c r="U8" i="1" s="1"/>
  <c r="G8" i="1"/>
  <c r="L8" i="1" s="1"/>
  <c r="V8" i="1" s="1"/>
  <c r="H8" i="1"/>
  <c r="M8" i="1" s="1"/>
  <c r="W8" i="1" s="1"/>
  <c r="W16" i="1" s="1"/>
  <c r="E9" i="1"/>
  <c r="J9" i="1" s="1"/>
  <c r="T9" i="1" s="1"/>
  <c r="F9" i="1"/>
  <c r="K9" i="1" s="1"/>
  <c r="U9" i="1" s="1"/>
  <c r="G9" i="1"/>
  <c r="L9" i="1" s="1"/>
  <c r="V9" i="1" s="1"/>
  <c r="H9" i="1"/>
  <c r="M9" i="1" s="1"/>
  <c r="W9" i="1" s="1"/>
  <c r="E10" i="1"/>
  <c r="J10" i="1" s="1"/>
  <c r="T10" i="1" s="1"/>
  <c r="F10" i="1"/>
  <c r="K10" i="1" s="1"/>
  <c r="U10" i="1" s="1"/>
  <c r="G10" i="1"/>
  <c r="L10" i="1" s="1"/>
  <c r="V10" i="1" s="1"/>
  <c r="H10" i="1"/>
  <c r="M10" i="1" s="1"/>
  <c r="W10" i="1" s="1"/>
  <c r="E11" i="1"/>
  <c r="J11" i="1" s="1"/>
  <c r="T11" i="1" s="1"/>
  <c r="F11" i="1"/>
  <c r="K11" i="1" s="1"/>
  <c r="U11" i="1" s="1"/>
  <c r="G11" i="1"/>
  <c r="L11" i="1" s="1"/>
  <c r="V11" i="1" s="1"/>
  <c r="H11" i="1"/>
  <c r="M11" i="1" s="1"/>
  <c r="W11" i="1" s="1"/>
  <c r="E12" i="1"/>
  <c r="J12" i="1" s="1"/>
  <c r="T12" i="1" s="1"/>
  <c r="F12" i="1"/>
  <c r="K12" i="1" s="1"/>
  <c r="U12" i="1" s="1"/>
  <c r="G12" i="1"/>
  <c r="L12" i="1" s="1"/>
  <c r="V12" i="1" s="1"/>
  <c r="H12" i="1"/>
  <c r="M12" i="1" s="1"/>
  <c r="W12" i="1" s="1"/>
  <c r="F7" i="1"/>
  <c r="K7" i="1" s="1"/>
  <c r="U7" i="1" s="1"/>
  <c r="G7" i="1"/>
  <c r="L7" i="1" s="1"/>
  <c r="V7" i="1" s="1"/>
  <c r="H7" i="1"/>
  <c r="M7" i="1" s="1"/>
  <c r="W7" i="1" s="1"/>
  <c r="E7" i="1"/>
  <c r="J7" i="1" s="1"/>
  <c r="T7" i="1" s="1"/>
  <c r="E4" i="1"/>
  <c r="F4" i="1" s="1"/>
  <c r="G4" i="1" s="1"/>
  <c r="H4" i="1" s="1"/>
  <c r="I5" i="1"/>
  <c r="C19" i="1"/>
  <c r="C18" i="1"/>
  <c r="C17" i="1"/>
  <c r="C16" i="1"/>
  <c r="M18" i="1" l="1"/>
  <c r="M16" i="1"/>
  <c r="K16" i="1"/>
  <c r="W18" i="1"/>
  <c r="U17" i="1"/>
  <c r="V16" i="1"/>
  <c r="J16" i="1"/>
  <c r="V17" i="1"/>
  <c r="T17" i="1"/>
  <c r="H17" i="1"/>
  <c r="H16" i="1"/>
  <c r="T16" i="1"/>
  <c r="H19" i="1"/>
  <c r="G16" i="1"/>
  <c r="W17" i="1"/>
  <c r="L16" i="1"/>
  <c r="V18" i="1"/>
  <c r="G17" i="1"/>
  <c r="U18" i="1"/>
  <c r="U16" i="1"/>
  <c r="W19" i="1"/>
  <c r="M17" i="1"/>
  <c r="L17" i="1"/>
  <c r="U19" i="1"/>
  <c r="F16" i="1"/>
  <c r="G19" i="1"/>
  <c r="F19" i="1"/>
  <c r="F17" i="1"/>
  <c r="T18" i="1"/>
  <c r="E17" i="1"/>
  <c r="M19" i="1"/>
  <c r="V19" i="1"/>
  <c r="K19" i="1"/>
  <c r="F18" i="1"/>
  <c r="K17" i="1"/>
  <c r="T19" i="1"/>
  <c r="J19" i="1"/>
  <c r="E18" i="1"/>
  <c r="J17" i="1"/>
  <c r="E16" i="1"/>
  <c r="L18" i="1"/>
  <c r="K18" i="1"/>
  <c r="E19" i="1"/>
  <c r="J18" i="1"/>
  <c r="H18" i="1"/>
  <c r="L19" i="1"/>
  <c r="G18" i="1"/>
  <c r="P9" i="1"/>
  <c r="Z9" i="1" s="1"/>
  <c r="O7" i="1"/>
  <c r="Q11" i="1"/>
  <c r="AA11" i="1" s="1"/>
  <c r="R11" i="1"/>
  <c r="AB11" i="1" s="1"/>
  <c r="P11" i="1"/>
  <c r="Z11" i="1" s="1"/>
  <c r="Q9" i="1"/>
  <c r="AA9" i="1" s="1"/>
  <c r="O11" i="1"/>
  <c r="Y11" i="1" s="1"/>
  <c r="O12" i="1"/>
  <c r="Y12" i="1" s="1"/>
  <c r="R7" i="1"/>
  <c r="O9" i="1"/>
  <c r="Y9" i="1" s="1"/>
  <c r="R8" i="1"/>
  <c r="AB8" i="1" s="1"/>
  <c r="Q8" i="1"/>
  <c r="AA8" i="1" s="1"/>
  <c r="P12" i="1"/>
  <c r="Z12" i="1" s="1"/>
  <c r="R9" i="1"/>
  <c r="AB9" i="1" s="1"/>
  <c r="P7" i="1"/>
  <c r="Q10" i="1"/>
  <c r="AA10" i="1" s="1"/>
  <c r="O8" i="1"/>
  <c r="Y8" i="1" s="1"/>
  <c r="P8" i="1"/>
  <c r="Z8" i="1" s="1"/>
  <c r="R12" i="1"/>
  <c r="AB12" i="1" s="1"/>
  <c r="R10" i="1"/>
  <c r="AB10" i="1" s="1"/>
  <c r="P10" i="1"/>
  <c r="Z10" i="1" s="1"/>
  <c r="Q12" i="1"/>
  <c r="AA12" i="1" s="1"/>
  <c r="O10" i="1"/>
  <c r="Y10" i="1" s="1"/>
  <c r="AD10" i="1" s="1"/>
  <c r="Q7" i="1"/>
  <c r="X6" i="1"/>
  <c r="X7" i="1"/>
  <c r="X12" i="1"/>
  <c r="X10" i="1"/>
  <c r="X9" i="1"/>
  <c r="X11" i="1"/>
  <c r="X8" i="1"/>
  <c r="X5" i="1"/>
  <c r="AD12" i="1" l="1"/>
  <c r="AD8" i="1"/>
  <c r="AD9" i="1"/>
  <c r="AD11" i="1"/>
  <c r="Z7" i="1"/>
  <c r="P18" i="1"/>
  <c r="P17" i="1"/>
  <c r="P19" i="1"/>
  <c r="P16" i="1"/>
  <c r="AA7" i="1"/>
  <c r="Q17" i="1"/>
  <c r="Q19" i="1"/>
  <c r="Q16" i="1"/>
  <c r="Q18" i="1"/>
  <c r="Y7" i="1"/>
  <c r="O17" i="1"/>
  <c r="O16" i="1"/>
  <c r="O18" i="1"/>
  <c r="O19" i="1"/>
  <c r="AB7" i="1"/>
  <c r="R16" i="1"/>
  <c r="R18" i="1"/>
  <c r="R17" i="1"/>
  <c r="R19" i="1"/>
  <c r="AD7" i="1" l="1"/>
  <c r="AA16" i="1"/>
  <c r="AA19" i="1"/>
  <c r="AA18" i="1"/>
  <c r="AA17" i="1"/>
  <c r="AB18" i="1"/>
  <c r="AB17" i="1"/>
  <c r="AB16" i="1"/>
  <c r="AB19" i="1"/>
  <c r="Y19" i="1"/>
  <c r="Y16" i="1"/>
  <c r="Y18" i="1"/>
  <c r="Y17" i="1"/>
  <c r="Z16" i="1"/>
  <c r="Z18" i="1"/>
  <c r="Z17" i="1"/>
  <c r="Z19" i="1"/>
  <c r="AD19" i="1" l="1"/>
  <c r="AD18" i="1"/>
  <c r="AD17" i="1"/>
  <c r="AD16" i="1"/>
</calcChain>
</file>

<file path=xl/sharedStrings.xml><?xml version="1.0" encoding="utf-8"?>
<sst xmlns="http://schemas.openxmlformats.org/spreadsheetml/2006/main" count="31" uniqueCount="31">
  <si>
    <t>employee payroll</t>
  </si>
  <si>
    <t>Last Name</t>
  </si>
  <si>
    <t>First Name</t>
  </si>
  <si>
    <t>Hourly wage</t>
  </si>
  <si>
    <t>hours worked</t>
  </si>
  <si>
    <t>Total Pay</t>
  </si>
  <si>
    <t>Poo</t>
  </si>
  <si>
    <t>Edgar</t>
  </si>
  <si>
    <t>King</t>
  </si>
  <si>
    <t>Stephan</t>
  </si>
  <si>
    <t>graham</t>
  </si>
  <si>
    <t>alexander</t>
  </si>
  <si>
    <t>agnon</t>
  </si>
  <si>
    <t>shay</t>
  </si>
  <si>
    <t>lev</t>
  </si>
  <si>
    <t>tolstoy</t>
  </si>
  <si>
    <t>crichton</t>
  </si>
  <si>
    <t>michael</t>
  </si>
  <si>
    <t>lovecraft</t>
  </si>
  <si>
    <t>howard</t>
  </si>
  <si>
    <t>martin</t>
  </si>
  <si>
    <t>george</t>
  </si>
  <si>
    <t>max</t>
  </si>
  <si>
    <t>min</t>
  </si>
  <si>
    <t>average</t>
  </si>
  <si>
    <t>total</t>
  </si>
  <si>
    <t>Yosi Izaq</t>
  </si>
  <si>
    <t>Overtime hours</t>
  </si>
  <si>
    <t>Overtime Bonus</t>
  </si>
  <si>
    <t>Pay</t>
  </si>
  <si>
    <t>January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</si>
</sst>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₪&quot;#,##0.00"/>
  </numFmts>
  <fonts count="2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" fontId="0" fillId="0" borderId="0" xfId="0" applyNumberFormat="1"/>
    <xf numFmtId="165" fontId="0" fillId="0" borderId="0" xfId="0" applyNumberFormat="1"/>
    <xf numFmtId="0" fontId="0" fillId="2" borderId="0" xfId="0" applyFill="1"/>
    <xf numFmtId="0" fontId="1" fillId="3" borderId="0" xfId="0" applyFont="1" applyFill="1"/>
    <xf numFmtId="165" fontId="0" fillId="4" borderId="0" xfId="0" applyNumberFormat="1" applyFill="1"/>
    <xf numFmtId="165" fontId="0" fillId="5" borderId="0" xfId="0" applyNumberFormat="1" applyFill="1"/>
    <xf numFmtId="165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0EB2-8034-E146-B61C-24E55CDA4B39}">
  <dimension ref="A1:AD19"/>
  <sheetViews>
    <sheetView tabSelected="1" workbookViewId="0">
      <selection activeCell="AD16" sqref="AD16:AD19"/>
    </sheetView>
  </sheetViews>
  <sheetFormatPr baseColWidth="10" defaultRowHeight="16" x14ac:dyDescent="0.2"/>
  <cols>
    <col min="3" max="3" width="12.6640625" customWidth="1"/>
    <col min="4" max="13" width="17.83203125" customWidth="1"/>
    <col min="19" max="24" width="13.5" customWidth="1"/>
  </cols>
  <sheetData>
    <row r="1" spans="1:30" x14ac:dyDescent="0.2">
      <c r="A1" t="s">
        <v>0</v>
      </c>
      <c r="C1" t="s">
        <v>26</v>
      </c>
    </row>
    <row r="3" spans="1:30" x14ac:dyDescent="0.2">
      <c r="D3" t="s">
        <v>4</v>
      </c>
      <c r="I3" t="s">
        <v>27</v>
      </c>
      <c r="N3" t="s">
        <v>29</v>
      </c>
      <c r="S3" t="s">
        <v>28</v>
      </c>
      <c r="X3" t="s">
        <v>5</v>
      </c>
    </row>
    <row r="4" spans="1:30" x14ac:dyDescent="0.2">
      <c r="A4" t="s">
        <v>1</v>
      </c>
      <c r="B4" t="s">
        <v>2</v>
      </c>
      <c r="C4" t="s">
        <v>3</v>
      </c>
      <c r="D4" s="1">
        <v>44927</v>
      </c>
      <c r="E4" s="1">
        <f>D4+7</f>
        <v>44934</v>
      </c>
      <c r="F4" s="1">
        <f t="shared" ref="F4:H4" si="0">E4+7</f>
        <v>44941</v>
      </c>
      <c r="G4" s="1">
        <f t="shared" si="0"/>
        <v>44948</v>
      </c>
      <c r="H4" s="1">
        <f t="shared" si="0"/>
        <v>44955</v>
      </c>
      <c r="I4" s="1">
        <v>44927</v>
      </c>
      <c r="J4" s="1">
        <f>I4+7</f>
        <v>44934</v>
      </c>
      <c r="K4" s="1">
        <f t="shared" ref="K4:M4" si="1">J4+7</f>
        <v>44941</v>
      </c>
      <c r="L4" s="1">
        <f t="shared" si="1"/>
        <v>44948</v>
      </c>
      <c r="M4" s="1">
        <f t="shared" si="1"/>
        <v>44955</v>
      </c>
      <c r="N4" s="1">
        <v>44927</v>
      </c>
      <c r="O4" s="1">
        <f>N4+7</f>
        <v>44934</v>
      </c>
      <c r="P4" s="1">
        <f t="shared" ref="P4:R4" si="2">O4+7</f>
        <v>44941</v>
      </c>
      <c r="Q4" s="1">
        <f t="shared" si="2"/>
        <v>44948</v>
      </c>
      <c r="R4" s="1">
        <f t="shared" si="2"/>
        <v>44955</v>
      </c>
      <c r="S4" s="1">
        <v>44927</v>
      </c>
      <c r="T4" s="1">
        <f>S4+7</f>
        <v>44934</v>
      </c>
      <c r="U4" s="1">
        <f t="shared" ref="U4:W4" si="3">T4+7</f>
        <v>44941</v>
      </c>
      <c r="V4" s="1">
        <f t="shared" si="3"/>
        <v>44948</v>
      </c>
      <c r="W4" s="1">
        <f t="shared" si="3"/>
        <v>44955</v>
      </c>
      <c r="X4" s="1">
        <v>44927</v>
      </c>
      <c r="Y4" s="1">
        <f>X4+7</f>
        <v>44934</v>
      </c>
      <c r="Z4" s="1">
        <f t="shared" ref="Z4:AB4" si="4">Y4+7</f>
        <v>44941</v>
      </c>
      <c r="AA4" s="1">
        <f t="shared" si="4"/>
        <v>44948</v>
      </c>
      <c r="AB4" s="1">
        <f t="shared" si="4"/>
        <v>44955</v>
      </c>
      <c r="AD4" t="s">
        <v>30</v>
      </c>
    </row>
    <row r="5" spans="1:30" x14ac:dyDescent="0.2">
      <c r="A5" t="s">
        <v>6</v>
      </c>
      <c r="B5" t="s">
        <v>7</v>
      </c>
      <c r="C5" s="2">
        <v>8</v>
      </c>
      <c r="D5" s="3">
        <v>40</v>
      </c>
      <c r="E5" s="3">
        <v>38</v>
      </c>
      <c r="F5" s="3">
        <v>43</v>
      </c>
      <c r="G5" s="3">
        <v>35</v>
      </c>
      <c r="H5" s="3">
        <v>45</v>
      </c>
      <c r="I5" s="4">
        <f>IF(D5&gt;40, D5-40,0)</f>
        <v>0</v>
      </c>
      <c r="J5" s="4">
        <f>IF(E5&gt;40, E5-40,0)</f>
        <v>0</v>
      </c>
      <c r="K5" s="4">
        <f>IF(F5&gt;40, F5-40,0)</f>
        <v>3</v>
      </c>
      <c r="L5" s="4">
        <f>IF(G5&gt;40, G5-40,0)</f>
        <v>0</v>
      </c>
      <c r="M5" s="4">
        <f t="shared" ref="M5" si="5">IF(H5&gt;40, H5-40,0)</f>
        <v>5</v>
      </c>
      <c r="N5" s="5">
        <f>$C5*D5</f>
        <v>320</v>
      </c>
      <c r="O5" s="5">
        <f t="shared" ref="O5:R12" si="6">$C5*E5</f>
        <v>304</v>
      </c>
      <c r="P5" s="5">
        <f t="shared" si="6"/>
        <v>344</v>
      </c>
      <c r="Q5" s="5">
        <f t="shared" si="6"/>
        <v>280</v>
      </c>
      <c r="R5" s="5">
        <f t="shared" si="6"/>
        <v>360</v>
      </c>
      <c r="S5" s="6">
        <f>0.5*$C5*I5</f>
        <v>0</v>
      </c>
      <c r="T5" s="6">
        <f t="shared" ref="T5:W12" si="7">0.5*$C5*J5</f>
        <v>0</v>
      </c>
      <c r="U5" s="6">
        <f t="shared" si="7"/>
        <v>12</v>
      </c>
      <c r="V5" s="6">
        <f t="shared" si="7"/>
        <v>0</v>
      </c>
      <c r="W5" s="6">
        <f t="shared" si="7"/>
        <v>20</v>
      </c>
      <c r="X5" s="7">
        <f>SUM(N5+S5)</f>
        <v>320</v>
      </c>
      <c r="Y5" s="7">
        <f t="shared" ref="Y5:AB12" si="8">SUM(O5+T5)</f>
        <v>304</v>
      </c>
      <c r="Z5" s="7">
        <f t="shared" si="8"/>
        <v>356</v>
      </c>
      <c r="AA5" s="7">
        <f t="shared" si="8"/>
        <v>280</v>
      </c>
      <c r="AB5" s="7">
        <f t="shared" si="8"/>
        <v>380</v>
      </c>
      <c r="AD5" s="2">
        <f>SUM(X5:AB5)</f>
        <v>1640</v>
      </c>
    </row>
    <row r="6" spans="1:30" x14ac:dyDescent="0.2">
      <c r="A6" t="s">
        <v>8</v>
      </c>
      <c r="B6" t="s">
        <v>9</v>
      </c>
      <c r="C6" s="2">
        <v>19</v>
      </c>
      <c r="D6" s="3">
        <v>45</v>
      </c>
      <c r="E6" s="3">
        <v>50</v>
      </c>
      <c r="F6" s="3">
        <v>32</v>
      </c>
      <c r="G6" s="3">
        <v>37</v>
      </c>
      <c r="H6" s="3">
        <v>38</v>
      </c>
      <c r="I6" s="4">
        <f t="shared" ref="I6:I12" si="9">IF(D6&gt;40, D6-40,0)</f>
        <v>5</v>
      </c>
      <c r="J6" s="4">
        <f t="shared" ref="J6:J12" si="10">IF(E6&gt;40, E6-40,0)</f>
        <v>10</v>
      </c>
      <c r="K6" s="4">
        <f t="shared" ref="K6:K12" si="11">IF(F6&gt;40, F6-40,0)</f>
        <v>0</v>
      </c>
      <c r="L6" s="4">
        <f t="shared" ref="L6:L12" si="12">IF(G6&gt;40, G6-40,0)</f>
        <v>0</v>
      </c>
      <c r="M6" s="4">
        <f t="shared" ref="M6:M12" si="13">IF(H6&gt;40, H6-40,0)</f>
        <v>0</v>
      </c>
      <c r="N6" s="5">
        <f t="shared" ref="N6:N12" si="14">$C6*D6</f>
        <v>855</v>
      </c>
      <c r="O6" s="5">
        <f t="shared" si="6"/>
        <v>950</v>
      </c>
      <c r="P6" s="5">
        <f t="shared" si="6"/>
        <v>608</v>
      </c>
      <c r="Q6" s="5">
        <f t="shared" si="6"/>
        <v>703</v>
      </c>
      <c r="R6" s="5">
        <f t="shared" si="6"/>
        <v>722</v>
      </c>
      <c r="S6" s="6">
        <f t="shared" ref="S6:S12" si="15">0.5*$C6*I6</f>
        <v>47.5</v>
      </c>
      <c r="T6" s="6">
        <f t="shared" si="7"/>
        <v>95</v>
      </c>
      <c r="U6" s="6">
        <f t="shared" si="7"/>
        <v>0</v>
      </c>
      <c r="V6" s="6">
        <f t="shared" si="7"/>
        <v>0</v>
      </c>
      <c r="W6" s="6">
        <f t="shared" si="7"/>
        <v>0</v>
      </c>
      <c r="X6" s="7">
        <f>SUM(N6+S6)</f>
        <v>902.5</v>
      </c>
      <c r="Y6" s="7">
        <f t="shared" si="8"/>
        <v>1045</v>
      </c>
      <c r="Z6" s="7">
        <f t="shared" si="8"/>
        <v>608</v>
      </c>
      <c r="AA6" s="7">
        <f t="shared" si="8"/>
        <v>703</v>
      </c>
      <c r="AB6" s="7">
        <f t="shared" si="8"/>
        <v>722</v>
      </c>
      <c r="AD6" s="2">
        <f t="shared" ref="AD6:AD12" si="16">SUM(X6:AB6)</f>
        <v>3980.5</v>
      </c>
    </row>
    <row r="7" spans="1:30" x14ac:dyDescent="0.2">
      <c r="A7" t="s">
        <v>10</v>
      </c>
      <c r="B7" t="s">
        <v>11</v>
      </c>
      <c r="C7" s="2">
        <v>33</v>
      </c>
      <c r="D7" s="3">
        <v>42</v>
      </c>
      <c r="E7" s="3">
        <f ca="1">RANDBETWEEN(35,45)</f>
        <v>43</v>
      </c>
      <c r="F7" s="3">
        <f t="shared" ref="F7:H12" ca="1" si="17">RANDBETWEEN(35,45)</f>
        <v>38</v>
      </c>
      <c r="G7" s="3">
        <f t="shared" ca="1" si="17"/>
        <v>40</v>
      </c>
      <c r="H7" s="3">
        <f t="shared" ca="1" si="17"/>
        <v>35</v>
      </c>
      <c r="I7" s="4">
        <f t="shared" si="9"/>
        <v>2</v>
      </c>
      <c r="J7" s="4">
        <f t="shared" ca="1" si="10"/>
        <v>3</v>
      </c>
      <c r="K7" s="4">
        <f t="shared" ca="1" si="11"/>
        <v>0</v>
      </c>
      <c r="L7" s="4">
        <f t="shared" ca="1" si="12"/>
        <v>0</v>
      </c>
      <c r="M7" s="4">
        <f t="shared" ca="1" si="13"/>
        <v>0</v>
      </c>
      <c r="N7" s="5">
        <f t="shared" si="14"/>
        <v>1386</v>
      </c>
      <c r="O7" s="5">
        <f t="shared" ca="1" si="6"/>
        <v>1419</v>
      </c>
      <c r="P7" s="5">
        <f t="shared" ca="1" si="6"/>
        <v>1254</v>
      </c>
      <c r="Q7" s="5">
        <f t="shared" ca="1" si="6"/>
        <v>1320</v>
      </c>
      <c r="R7" s="5">
        <f t="shared" ca="1" si="6"/>
        <v>1155</v>
      </c>
      <c r="S7" s="6">
        <f t="shared" si="15"/>
        <v>33</v>
      </c>
      <c r="T7" s="6">
        <f t="shared" ca="1" si="7"/>
        <v>49.5</v>
      </c>
      <c r="U7" s="6">
        <f t="shared" ca="1" si="7"/>
        <v>0</v>
      </c>
      <c r="V7" s="6">
        <f t="shared" ca="1" si="7"/>
        <v>0</v>
      </c>
      <c r="W7" s="6">
        <f t="shared" ca="1" si="7"/>
        <v>0</v>
      </c>
      <c r="X7" s="7">
        <f>SUM(N7+S7)</f>
        <v>1419</v>
      </c>
      <c r="Y7" s="7">
        <f t="shared" ca="1" si="8"/>
        <v>1468.5</v>
      </c>
      <c r="Z7" s="7">
        <f t="shared" ca="1" si="8"/>
        <v>1254</v>
      </c>
      <c r="AA7" s="7">
        <f t="shared" ca="1" si="8"/>
        <v>1320</v>
      </c>
      <c r="AB7" s="7">
        <f t="shared" ca="1" si="8"/>
        <v>1155</v>
      </c>
      <c r="AD7" s="2">
        <f t="shared" ca="1" si="16"/>
        <v>6616.5</v>
      </c>
    </row>
    <row r="8" spans="1:30" x14ac:dyDescent="0.2">
      <c r="A8" t="s">
        <v>12</v>
      </c>
      <c r="B8" t="s">
        <v>13</v>
      </c>
      <c r="C8" s="2">
        <v>6</v>
      </c>
      <c r="D8" s="3">
        <v>43</v>
      </c>
      <c r="E8" s="3">
        <f t="shared" ref="E8:E12" ca="1" si="18">RANDBETWEEN(35,45)</f>
        <v>41</v>
      </c>
      <c r="F8" s="3">
        <f t="shared" ca="1" si="17"/>
        <v>35</v>
      </c>
      <c r="G8" s="3">
        <f t="shared" ca="1" si="17"/>
        <v>36</v>
      </c>
      <c r="H8" s="3">
        <f t="shared" ca="1" si="17"/>
        <v>40</v>
      </c>
      <c r="I8" s="4">
        <f t="shared" si="9"/>
        <v>3</v>
      </c>
      <c r="J8" s="4">
        <f t="shared" ca="1" si="10"/>
        <v>1</v>
      </c>
      <c r="K8" s="4">
        <f t="shared" ca="1" si="11"/>
        <v>0</v>
      </c>
      <c r="L8" s="4">
        <f t="shared" ca="1" si="12"/>
        <v>0</v>
      </c>
      <c r="M8" s="4">
        <f t="shared" ca="1" si="13"/>
        <v>0</v>
      </c>
      <c r="N8" s="5">
        <f t="shared" si="14"/>
        <v>258</v>
      </c>
      <c r="O8" s="5">
        <f t="shared" ca="1" si="6"/>
        <v>246</v>
      </c>
      <c r="P8" s="5">
        <f t="shared" ca="1" si="6"/>
        <v>210</v>
      </c>
      <c r="Q8" s="5">
        <f t="shared" ca="1" si="6"/>
        <v>216</v>
      </c>
      <c r="R8" s="5">
        <f t="shared" ca="1" si="6"/>
        <v>240</v>
      </c>
      <c r="S8" s="6">
        <f t="shared" si="15"/>
        <v>9</v>
      </c>
      <c r="T8" s="6">
        <f t="shared" ca="1" si="7"/>
        <v>3</v>
      </c>
      <c r="U8" s="6">
        <f t="shared" ca="1" si="7"/>
        <v>0</v>
      </c>
      <c r="V8" s="6">
        <f t="shared" ca="1" si="7"/>
        <v>0</v>
      </c>
      <c r="W8" s="6">
        <f t="shared" ca="1" si="7"/>
        <v>0</v>
      </c>
      <c r="X8" s="7">
        <f>SUM(N8+S8)</f>
        <v>267</v>
      </c>
      <c r="Y8" s="7">
        <f t="shared" ca="1" si="8"/>
        <v>249</v>
      </c>
      <c r="Z8" s="7">
        <f t="shared" ca="1" si="8"/>
        <v>210</v>
      </c>
      <c r="AA8" s="7">
        <f t="shared" ca="1" si="8"/>
        <v>216</v>
      </c>
      <c r="AB8" s="7">
        <f t="shared" ca="1" si="8"/>
        <v>240</v>
      </c>
      <c r="AD8" s="2">
        <f t="shared" ca="1" si="16"/>
        <v>1182</v>
      </c>
    </row>
    <row r="9" spans="1:30" x14ac:dyDescent="0.2">
      <c r="A9" t="s">
        <v>14</v>
      </c>
      <c r="B9" t="s">
        <v>15</v>
      </c>
      <c r="C9" s="2">
        <v>12.5</v>
      </c>
      <c r="D9" s="3">
        <v>50</v>
      </c>
      <c r="E9" s="3">
        <f t="shared" ca="1" si="18"/>
        <v>41</v>
      </c>
      <c r="F9" s="3">
        <f t="shared" ca="1" si="17"/>
        <v>39</v>
      </c>
      <c r="G9" s="3">
        <f t="shared" ca="1" si="17"/>
        <v>45</v>
      </c>
      <c r="H9" s="3">
        <f t="shared" ca="1" si="17"/>
        <v>37</v>
      </c>
      <c r="I9" s="4">
        <f t="shared" si="9"/>
        <v>10</v>
      </c>
      <c r="J9" s="4">
        <f t="shared" ca="1" si="10"/>
        <v>1</v>
      </c>
      <c r="K9" s="4">
        <f t="shared" ca="1" si="11"/>
        <v>0</v>
      </c>
      <c r="L9" s="4">
        <f t="shared" ca="1" si="12"/>
        <v>5</v>
      </c>
      <c r="M9" s="4">
        <f t="shared" ca="1" si="13"/>
        <v>0</v>
      </c>
      <c r="N9" s="5">
        <f t="shared" si="14"/>
        <v>625</v>
      </c>
      <c r="O9" s="5">
        <f t="shared" ca="1" si="6"/>
        <v>512.5</v>
      </c>
      <c r="P9" s="5">
        <f t="shared" ca="1" si="6"/>
        <v>487.5</v>
      </c>
      <c r="Q9" s="5">
        <f t="shared" ca="1" si="6"/>
        <v>562.5</v>
      </c>
      <c r="R9" s="5">
        <f t="shared" ca="1" si="6"/>
        <v>462.5</v>
      </c>
      <c r="S9" s="6">
        <f t="shared" si="15"/>
        <v>62.5</v>
      </c>
      <c r="T9" s="6">
        <f t="shared" ca="1" si="7"/>
        <v>6.25</v>
      </c>
      <c r="U9" s="6">
        <f t="shared" ca="1" si="7"/>
        <v>0</v>
      </c>
      <c r="V9" s="6">
        <f t="shared" ca="1" si="7"/>
        <v>31.25</v>
      </c>
      <c r="W9" s="6">
        <f t="shared" ca="1" si="7"/>
        <v>0</v>
      </c>
      <c r="X9" s="7">
        <f>SUM(N9+S9)</f>
        <v>687.5</v>
      </c>
      <c r="Y9" s="7">
        <f t="shared" ca="1" si="8"/>
        <v>518.75</v>
      </c>
      <c r="Z9" s="7">
        <f t="shared" ca="1" si="8"/>
        <v>487.5</v>
      </c>
      <c r="AA9" s="7">
        <f t="shared" ca="1" si="8"/>
        <v>593.75</v>
      </c>
      <c r="AB9" s="7">
        <f t="shared" ca="1" si="8"/>
        <v>462.5</v>
      </c>
      <c r="AD9" s="2">
        <f t="shared" ca="1" si="16"/>
        <v>2750</v>
      </c>
    </row>
    <row r="10" spans="1:30" x14ac:dyDescent="0.2">
      <c r="A10" t="s">
        <v>16</v>
      </c>
      <c r="B10" t="s">
        <v>17</v>
      </c>
      <c r="C10" s="2">
        <v>2</v>
      </c>
      <c r="D10" s="3">
        <v>39</v>
      </c>
      <c r="E10" s="3">
        <f t="shared" ca="1" si="18"/>
        <v>43</v>
      </c>
      <c r="F10" s="3">
        <f t="shared" ca="1" si="17"/>
        <v>42</v>
      </c>
      <c r="G10" s="3">
        <f t="shared" ca="1" si="17"/>
        <v>44</v>
      </c>
      <c r="H10" s="3">
        <f t="shared" ca="1" si="17"/>
        <v>43</v>
      </c>
      <c r="I10" s="4">
        <f t="shared" si="9"/>
        <v>0</v>
      </c>
      <c r="J10" s="4">
        <f t="shared" ca="1" si="10"/>
        <v>3</v>
      </c>
      <c r="K10" s="4">
        <f t="shared" ca="1" si="11"/>
        <v>2</v>
      </c>
      <c r="L10" s="4">
        <f t="shared" ca="1" si="12"/>
        <v>4</v>
      </c>
      <c r="M10" s="4">
        <f t="shared" ca="1" si="13"/>
        <v>3</v>
      </c>
      <c r="N10" s="5">
        <f t="shared" si="14"/>
        <v>78</v>
      </c>
      <c r="O10" s="5">
        <f t="shared" ca="1" si="6"/>
        <v>86</v>
      </c>
      <c r="P10" s="5">
        <f t="shared" ca="1" si="6"/>
        <v>84</v>
      </c>
      <c r="Q10" s="5">
        <f t="shared" ca="1" si="6"/>
        <v>88</v>
      </c>
      <c r="R10" s="5">
        <f t="shared" ca="1" si="6"/>
        <v>86</v>
      </c>
      <c r="S10" s="6">
        <f t="shared" si="15"/>
        <v>0</v>
      </c>
      <c r="T10" s="6">
        <f t="shared" ca="1" si="7"/>
        <v>3</v>
      </c>
      <c r="U10" s="6">
        <f t="shared" ca="1" si="7"/>
        <v>2</v>
      </c>
      <c r="V10" s="6">
        <f t="shared" ca="1" si="7"/>
        <v>4</v>
      </c>
      <c r="W10" s="6">
        <f t="shared" ca="1" si="7"/>
        <v>3</v>
      </c>
      <c r="X10" s="7">
        <f>SUM(N10+S10)</f>
        <v>78</v>
      </c>
      <c r="Y10" s="7">
        <f t="shared" ca="1" si="8"/>
        <v>89</v>
      </c>
      <c r="Z10" s="7">
        <f t="shared" ca="1" si="8"/>
        <v>86</v>
      </c>
      <c r="AA10" s="7">
        <f t="shared" ca="1" si="8"/>
        <v>92</v>
      </c>
      <c r="AB10" s="7">
        <f t="shared" ca="1" si="8"/>
        <v>89</v>
      </c>
      <c r="AD10" s="2">
        <f t="shared" ca="1" si="16"/>
        <v>434</v>
      </c>
    </row>
    <row r="11" spans="1:30" x14ac:dyDescent="0.2">
      <c r="A11" t="s">
        <v>18</v>
      </c>
      <c r="B11" t="s">
        <v>19</v>
      </c>
      <c r="C11" s="2">
        <v>4</v>
      </c>
      <c r="D11" s="3">
        <v>41</v>
      </c>
      <c r="E11" s="3">
        <f t="shared" ca="1" si="18"/>
        <v>38</v>
      </c>
      <c r="F11" s="3">
        <f t="shared" ca="1" si="17"/>
        <v>36</v>
      </c>
      <c r="G11" s="3">
        <f t="shared" ca="1" si="17"/>
        <v>45</v>
      </c>
      <c r="H11" s="3">
        <f t="shared" ca="1" si="17"/>
        <v>44</v>
      </c>
      <c r="I11" s="4">
        <f t="shared" si="9"/>
        <v>1</v>
      </c>
      <c r="J11" s="4">
        <f t="shared" ca="1" si="10"/>
        <v>0</v>
      </c>
      <c r="K11" s="4">
        <f t="shared" ca="1" si="11"/>
        <v>0</v>
      </c>
      <c r="L11" s="4">
        <f t="shared" ca="1" si="12"/>
        <v>5</v>
      </c>
      <c r="M11" s="4">
        <f t="shared" ca="1" si="13"/>
        <v>4</v>
      </c>
      <c r="N11" s="5">
        <f t="shared" si="14"/>
        <v>164</v>
      </c>
      <c r="O11" s="5">
        <f t="shared" ca="1" si="6"/>
        <v>152</v>
      </c>
      <c r="P11" s="5">
        <f t="shared" ca="1" si="6"/>
        <v>144</v>
      </c>
      <c r="Q11" s="5">
        <f t="shared" ca="1" si="6"/>
        <v>180</v>
      </c>
      <c r="R11" s="5">
        <f t="shared" ca="1" si="6"/>
        <v>176</v>
      </c>
      <c r="S11" s="6">
        <f t="shared" si="15"/>
        <v>2</v>
      </c>
      <c r="T11" s="6">
        <f t="shared" ca="1" si="7"/>
        <v>0</v>
      </c>
      <c r="U11" s="6">
        <f t="shared" ca="1" si="7"/>
        <v>0</v>
      </c>
      <c r="V11" s="6">
        <f t="shared" ca="1" si="7"/>
        <v>10</v>
      </c>
      <c r="W11" s="6">
        <f t="shared" ca="1" si="7"/>
        <v>8</v>
      </c>
      <c r="X11" s="7">
        <f>SUM(N11+S11)</f>
        <v>166</v>
      </c>
      <c r="Y11" s="7">
        <f t="shared" ca="1" si="8"/>
        <v>152</v>
      </c>
      <c r="Z11" s="7">
        <f t="shared" ca="1" si="8"/>
        <v>144</v>
      </c>
      <c r="AA11" s="7">
        <f t="shared" ca="1" si="8"/>
        <v>190</v>
      </c>
      <c r="AB11" s="7">
        <f t="shared" ca="1" si="8"/>
        <v>184</v>
      </c>
      <c r="AD11" s="2">
        <f t="shared" ca="1" si="16"/>
        <v>836</v>
      </c>
    </row>
    <row r="12" spans="1:30" x14ac:dyDescent="0.2">
      <c r="A12" t="s">
        <v>20</v>
      </c>
      <c r="B12" t="s">
        <v>21</v>
      </c>
      <c r="C12" s="2">
        <v>7</v>
      </c>
      <c r="D12" s="3">
        <v>44</v>
      </c>
      <c r="E12" s="3">
        <f t="shared" ca="1" si="18"/>
        <v>45</v>
      </c>
      <c r="F12" s="3">
        <f t="shared" ca="1" si="17"/>
        <v>36</v>
      </c>
      <c r="G12" s="3">
        <f t="shared" ca="1" si="17"/>
        <v>36</v>
      </c>
      <c r="H12" s="3">
        <f t="shared" ca="1" si="17"/>
        <v>37</v>
      </c>
      <c r="I12" s="4">
        <f t="shared" si="9"/>
        <v>4</v>
      </c>
      <c r="J12" s="4">
        <f t="shared" ca="1" si="10"/>
        <v>5</v>
      </c>
      <c r="K12" s="4">
        <f t="shared" ca="1" si="11"/>
        <v>0</v>
      </c>
      <c r="L12" s="4">
        <f t="shared" ca="1" si="12"/>
        <v>0</v>
      </c>
      <c r="M12" s="4">
        <f t="shared" ca="1" si="13"/>
        <v>0</v>
      </c>
      <c r="N12" s="5">
        <f t="shared" si="14"/>
        <v>308</v>
      </c>
      <c r="O12" s="5">
        <f t="shared" ca="1" si="6"/>
        <v>315</v>
      </c>
      <c r="P12" s="5">
        <f t="shared" ca="1" si="6"/>
        <v>252</v>
      </c>
      <c r="Q12" s="5">
        <f t="shared" ca="1" si="6"/>
        <v>252</v>
      </c>
      <c r="R12" s="5">
        <f t="shared" ca="1" si="6"/>
        <v>259</v>
      </c>
      <c r="S12" s="6">
        <f t="shared" si="15"/>
        <v>14</v>
      </c>
      <c r="T12" s="6">
        <f t="shared" ca="1" si="7"/>
        <v>17.5</v>
      </c>
      <c r="U12" s="6">
        <f t="shared" ca="1" si="7"/>
        <v>0</v>
      </c>
      <c r="V12" s="6">
        <f t="shared" ca="1" si="7"/>
        <v>0</v>
      </c>
      <c r="W12" s="6">
        <f t="shared" ca="1" si="7"/>
        <v>0</v>
      </c>
      <c r="X12" s="7">
        <f>SUM(N12+S12)</f>
        <v>322</v>
      </c>
      <c r="Y12" s="7">
        <f t="shared" ca="1" si="8"/>
        <v>332.5</v>
      </c>
      <c r="Z12" s="7">
        <f t="shared" ca="1" si="8"/>
        <v>252</v>
      </c>
      <c r="AA12" s="7">
        <f t="shared" ca="1" si="8"/>
        <v>252</v>
      </c>
      <c r="AB12" s="7">
        <f t="shared" ca="1" si="8"/>
        <v>259</v>
      </c>
      <c r="AD12" s="2">
        <f t="shared" ca="1" si="16"/>
        <v>1417.5</v>
      </c>
    </row>
    <row r="16" spans="1:30" x14ac:dyDescent="0.2">
      <c r="A16" t="s">
        <v>22</v>
      </c>
      <c r="B16" s="2"/>
      <c r="C16" s="2">
        <f>MAX(C5:C12)</f>
        <v>33</v>
      </c>
      <c r="D16" s="2">
        <f t="shared" ref="D16:AB16" si="19">MAX(D5:D12)</f>
        <v>50</v>
      </c>
      <c r="E16" s="2">
        <f t="shared" ca="1" si="19"/>
        <v>50</v>
      </c>
      <c r="F16" s="2">
        <f t="shared" ca="1" si="19"/>
        <v>43</v>
      </c>
      <c r="G16" s="2">
        <f t="shared" ca="1" si="19"/>
        <v>45</v>
      </c>
      <c r="H16" s="2">
        <f t="shared" ca="1" si="19"/>
        <v>45</v>
      </c>
      <c r="I16" s="2">
        <f t="shared" si="19"/>
        <v>10</v>
      </c>
      <c r="J16" s="2">
        <f t="shared" ca="1" si="19"/>
        <v>10</v>
      </c>
      <c r="K16" s="2">
        <f t="shared" ca="1" si="19"/>
        <v>3</v>
      </c>
      <c r="L16" s="2">
        <f t="shared" ca="1" si="19"/>
        <v>5</v>
      </c>
      <c r="M16" s="2">
        <f t="shared" ca="1" si="19"/>
        <v>5</v>
      </c>
      <c r="N16" s="2">
        <f t="shared" si="19"/>
        <v>1386</v>
      </c>
      <c r="O16" s="2">
        <f t="shared" ca="1" si="19"/>
        <v>1419</v>
      </c>
      <c r="P16" s="2">
        <f t="shared" ca="1" si="19"/>
        <v>1254</v>
      </c>
      <c r="Q16" s="2">
        <f t="shared" ca="1" si="19"/>
        <v>1320</v>
      </c>
      <c r="R16" s="2">
        <f t="shared" ca="1" si="19"/>
        <v>1155</v>
      </c>
      <c r="S16" s="2">
        <f t="shared" si="19"/>
        <v>62.5</v>
      </c>
      <c r="T16" s="2">
        <f t="shared" ca="1" si="19"/>
        <v>95</v>
      </c>
      <c r="U16" s="2">
        <f t="shared" ca="1" si="19"/>
        <v>12</v>
      </c>
      <c r="V16" s="2">
        <f t="shared" ca="1" si="19"/>
        <v>31.25</v>
      </c>
      <c r="W16" s="2">
        <f t="shared" ca="1" si="19"/>
        <v>20</v>
      </c>
      <c r="X16" s="2">
        <f t="shared" si="19"/>
        <v>1419</v>
      </c>
      <c r="Y16" s="2">
        <f t="shared" ca="1" si="19"/>
        <v>1468.5</v>
      </c>
      <c r="Z16" s="2">
        <f t="shared" ca="1" si="19"/>
        <v>1254</v>
      </c>
      <c r="AA16" s="2">
        <f t="shared" ca="1" si="19"/>
        <v>1320</v>
      </c>
      <c r="AB16" s="2">
        <f t="shared" ca="1" si="19"/>
        <v>1155</v>
      </c>
      <c r="AD16" s="2">
        <f t="shared" ref="AD16" ca="1" si="20">MAX(AD5:AD12)</f>
        <v>6616.5</v>
      </c>
    </row>
    <row r="17" spans="1:30" x14ac:dyDescent="0.2">
      <c r="A17" t="s">
        <v>23</v>
      </c>
      <c r="B17" s="2"/>
      <c r="C17" s="2">
        <f>MIN(C5:C12)</f>
        <v>2</v>
      </c>
      <c r="D17" s="2">
        <f t="shared" ref="D17:AB17" si="21">MIN(D5:D12)</f>
        <v>39</v>
      </c>
      <c r="E17" s="2">
        <f t="shared" ca="1" si="21"/>
        <v>38</v>
      </c>
      <c r="F17" s="2">
        <f t="shared" ca="1" si="21"/>
        <v>32</v>
      </c>
      <c r="G17" s="2">
        <f t="shared" ca="1" si="21"/>
        <v>35</v>
      </c>
      <c r="H17" s="2">
        <f t="shared" ca="1" si="21"/>
        <v>35</v>
      </c>
      <c r="I17" s="2">
        <f t="shared" si="21"/>
        <v>0</v>
      </c>
      <c r="J17" s="2">
        <f t="shared" ca="1" si="21"/>
        <v>0</v>
      </c>
      <c r="K17" s="2">
        <f t="shared" ca="1" si="21"/>
        <v>0</v>
      </c>
      <c r="L17" s="2">
        <f t="shared" ca="1" si="21"/>
        <v>0</v>
      </c>
      <c r="M17" s="2">
        <f t="shared" ca="1" si="21"/>
        <v>0</v>
      </c>
      <c r="N17" s="2">
        <f t="shared" si="21"/>
        <v>78</v>
      </c>
      <c r="O17" s="2">
        <f t="shared" ca="1" si="21"/>
        <v>86</v>
      </c>
      <c r="P17" s="2">
        <f t="shared" ca="1" si="21"/>
        <v>84</v>
      </c>
      <c r="Q17" s="2">
        <f t="shared" ca="1" si="21"/>
        <v>88</v>
      </c>
      <c r="R17" s="2">
        <f t="shared" ca="1" si="21"/>
        <v>86</v>
      </c>
      <c r="S17" s="2">
        <f t="shared" si="21"/>
        <v>0</v>
      </c>
      <c r="T17" s="2">
        <f t="shared" ca="1" si="21"/>
        <v>0</v>
      </c>
      <c r="U17" s="2">
        <f t="shared" ca="1" si="21"/>
        <v>0</v>
      </c>
      <c r="V17" s="2">
        <f t="shared" ca="1" si="21"/>
        <v>0</v>
      </c>
      <c r="W17" s="2">
        <f t="shared" ca="1" si="21"/>
        <v>0</v>
      </c>
      <c r="X17" s="2">
        <f t="shared" si="21"/>
        <v>78</v>
      </c>
      <c r="Y17" s="2">
        <f t="shared" ca="1" si="21"/>
        <v>89</v>
      </c>
      <c r="Z17" s="2">
        <f t="shared" ca="1" si="21"/>
        <v>86</v>
      </c>
      <c r="AA17" s="2">
        <f t="shared" ca="1" si="21"/>
        <v>92</v>
      </c>
      <c r="AB17" s="2">
        <f t="shared" ca="1" si="21"/>
        <v>89</v>
      </c>
      <c r="AD17" s="2">
        <f t="shared" ref="AD17" ca="1" si="22">MIN(AD5:AD12)</f>
        <v>434</v>
      </c>
    </row>
    <row r="18" spans="1:30" x14ac:dyDescent="0.2">
      <c r="A18" t="s">
        <v>24</v>
      </c>
      <c r="B18" s="2"/>
      <c r="C18" s="2">
        <f>AVERAGE(C5:C12)</f>
        <v>11.4375</v>
      </c>
      <c r="D18" s="2">
        <f t="shared" ref="D18:AB18" si="23">AVERAGE(D5:D12)</f>
        <v>43</v>
      </c>
      <c r="E18" s="2">
        <f t="shared" ca="1" si="23"/>
        <v>42.375</v>
      </c>
      <c r="F18" s="2">
        <f t="shared" ca="1" si="23"/>
        <v>37.625</v>
      </c>
      <c r="G18" s="2">
        <f t="shared" ca="1" si="23"/>
        <v>39.75</v>
      </c>
      <c r="H18" s="2">
        <f t="shared" ca="1" si="23"/>
        <v>39.875</v>
      </c>
      <c r="I18" s="2">
        <f t="shared" si="23"/>
        <v>3.125</v>
      </c>
      <c r="J18" s="2">
        <f t="shared" ca="1" si="23"/>
        <v>2.875</v>
      </c>
      <c r="K18" s="2">
        <f t="shared" ca="1" si="23"/>
        <v>0.625</v>
      </c>
      <c r="L18" s="2">
        <f t="shared" ca="1" si="23"/>
        <v>1.75</v>
      </c>
      <c r="M18" s="2">
        <f t="shared" ca="1" si="23"/>
        <v>1.5</v>
      </c>
      <c r="N18" s="2">
        <f t="shared" si="23"/>
        <v>499.25</v>
      </c>
      <c r="O18" s="2">
        <f t="shared" ca="1" si="23"/>
        <v>498.0625</v>
      </c>
      <c r="P18" s="2">
        <f t="shared" ca="1" si="23"/>
        <v>422.9375</v>
      </c>
      <c r="Q18" s="2">
        <f t="shared" ca="1" si="23"/>
        <v>450.1875</v>
      </c>
      <c r="R18" s="2">
        <f t="shared" ca="1" si="23"/>
        <v>432.5625</v>
      </c>
      <c r="S18" s="2">
        <f t="shared" si="23"/>
        <v>21</v>
      </c>
      <c r="T18" s="2">
        <f t="shared" ca="1" si="23"/>
        <v>21.78125</v>
      </c>
      <c r="U18" s="2">
        <f t="shared" ca="1" si="23"/>
        <v>1.75</v>
      </c>
      <c r="V18" s="2">
        <f t="shared" ca="1" si="23"/>
        <v>5.65625</v>
      </c>
      <c r="W18" s="2">
        <f t="shared" ca="1" si="23"/>
        <v>3.875</v>
      </c>
      <c r="X18" s="2">
        <f t="shared" si="23"/>
        <v>520.25</v>
      </c>
      <c r="Y18" s="2">
        <f t="shared" ca="1" si="23"/>
        <v>519.84375</v>
      </c>
      <c r="Z18" s="2">
        <f t="shared" ca="1" si="23"/>
        <v>424.6875</v>
      </c>
      <c r="AA18" s="2">
        <f t="shared" ca="1" si="23"/>
        <v>455.84375</v>
      </c>
      <c r="AB18" s="2">
        <f t="shared" ca="1" si="23"/>
        <v>436.4375</v>
      </c>
      <c r="AD18" s="2">
        <f t="shared" ref="AD18" ca="1" si="24">AVERAGE(AD5:AD12)</f>
        <v>2357.0625</v>
      </c>
    </row>
    <row r="19" spans="1:30" x14ac:dyDescent="0.2">
      <c r="A19" t="s">
        <v>25</v>
      </c>
      <c r="B19" s="2"/>
      <c r="C19" s="2">
        <f>SUM(C5:C12)</f>
        <v>91.5</v>
      </c>
      <c r="D19" s="2">
        <f t="shared" ref="D19:AB19" si="25">SUM(D5:D12)</f>
        <v>344</v>
      </c>
      <c r="E19" s="2">
        <f t="shared" ca="1" si="25"/>
        <v>339</v>
      </c>
      <c r="F19" s="2">
        <f t="shared" ca="1" si="25"/>
        <v>301</v>
      </c>
      <c r="G19" s="2">
        <f t="shared" ca="1" si="25"/>
        <v>318</v>
      </c>
      <c r="H19" s="2">
        <f t="shared" ca="1" si="25"/>
        <v>319</v>
      </c>
      <c r="I19" s="2">
        <f t="shared" si="25"/>
        <v>25</v>
      </c>
      <c r="J19" s="2">
        <f t="shared" ca="1" si="25"/>
        <v>23</v>
      </c>
      <c r="K19" s="2">
        <f t="shared" ca="1" si="25"/>
        <v>5</v>
      </c>
      <c r="L19" s="2">
        <f t="shared" ca="1" si="25"/>
        <v>14</v>
      </c>
      <c r="M19" s="2">
        <f t="shared" ca="1" si="25"/>
        <v>12</v>
      </c>
      <c r="N19" s="2">
        <f t="shared" si="25"/>
        <v>3994</v>
      </c>
      <c r="O19" s="2">
        <f t="shared" ca="1" si="25"/>
        <v>3984.5</v>
      </c>
      <c r="P19" s="2">
        <f t="shared" ca="1" si="25"/>
        <v>3383.5</v>
      </c>
      <c r="Q19" s="2">
        <f t="shared" ca="1" si="25"/>
        <v>3601.5</v>
      </c>
      <c r="R19" s="2">
        <f t="shared" ca="1" si="25"/>
        <v>3460.5</v>
      </c>
      <c r="S19" s="2">
        <f t="shared" si="25"/>
        <v>168</v>
      </c>
      <c r="T19" s="2">
        <f t="shared" ca="1" si="25"/>
        <v>174.25</v>
      </c>
      <c r="U19" s="2">
        <f t="shared" ca="1" si="25"/>
        <v>14</v>
      </c>
      <c r="V19" s="2">
        <f t="shared" ca="1" si="25"/>
        <v>45.25</v>
      </c>
      <c r="W19" s="2">
        <f t="shared" ca="1" si="25"/>
        <v>31</v>
      </c>
      <c r="X19" s="2">
        <f t="shared" si="25"/>
        <v>4162</v>
      </c>
      <c r="Y19" s="2">
        <f t="shared" ca="1" si="25"/>
        <v>4158.75</v>
      </c>
      <c r="Z19" s="2">
        <f t="shared" ca="1" si="25"/>
        <v>3397.5</v>
      </c>
      <c r="AA19" s="2">
        <f t="shared" ca="1" si="25"/>
        <v>3646.75</v>
      </c>
      <c r="AB19" s="2">
        <f t="shared" ca="1" si="25"/>
        <v>3491.5</v>
      </c>
      <c r="AD19" s="2">
        <f t="shared" ref="AD19" ca="1" si="26">SUM(AD5:AD12)</f>
        <v>18856.5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Izaq, Yosi</dc:creator>
  <cp:lastModifiedBy>Izaq, Yosi</cp:lastModifiedBy>
  <dcterms:created xsi:type="dcterms:W3CDTF">2023-10-08T10:34:06Z</dcterms:created>
  <dcterms:modified xsi:type="dcterms:W3CDTF">2023-10-11T13:22:50Z</dcterms:modified>
</cp:coreProperties>
</file>