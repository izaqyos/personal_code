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i500695/Downloads/"/>
    </mc:Choice>
  </mc:AlternateContent>
  <xr:revisionPtr revIDLastSave="0" documentId="13_ncr:1_{E0480803-7B5B-0E4C-B6A0-7F336AB43563}" xr6:coauthVersionLast="47" xr6:coauthVersionMax="47" xr10:uidLastSave="{00000000-0000-0000-0000-000000000000}"/>
  <bookViews>
    <workbookView xWindow="0" yWindow="500" windowWidth="51200" windowHeight="28300" tabRatio="50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Sheet1!$A$1:$K$172</definedName>
  </definedNames>
  <calcPr calcId="191029"/>
  <pivotCaches>
    <pivotCache cacheId="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74" i="1" l="1"/>
  <c r="F176" i="1" s="1"/>
  <c r="F175" i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/>
  <c r="G75" i="1"/>
  <c r="H75" i="1" s="1"/>
  <c r="G76" i="1"/>
  <c r="H76" i="1" s="1"/>
  <c r="G77" i="1"/>
  <c r="H77" i="1"/>
  <c r="G78" i="1"/>
  <c r="H78" i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/>
  <c r="G89" i="1"/>
  <c r="H89" i="1" s="1"/>
  <c r="G90" i="1"/>
  <c r="H90" i="1" s="1"/>
  <c r="G91" i="1"/>
  <c r="H91" i="1" s="1"/>
  <c r="G92" i="1"/>
  <c r="H92" i="1" s="1"/>
  <c r="G93" i="1"/>
  <c r="H93" i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/>
  <c r="G108" i="1"/>
  <c r="H108" i="1"/>
  <c r="G109" i="1"/>
  <c r="H109" i="1" s="1"/>
  <c r="G110" i="1"/>
  <c r="H110" i="1" s="1"/>
  <c r="G111" i="1"/>
  <c r="H111" i="1" s="1"/>
  <c r="G112" i="1"/>
  <c r="H112" i="1" s="1"/>
  <c r="G113" i="1"/>
  <c r="H113" i="1"/>
  <c r="G114" i="1"/>
  <c r="H114" i="1"/>
  <c r="G115" i="1"/>
  <c r="H115" i="1" s="1"/>
  <c r="G116" i="1"/>
  <c r="H116" i="1" s="1"/>
  <c r="G117" i="1"/>
  <c r="H117" i="1" s="1"/>
  <c r="G118" i="1"/>
  <c r="H118" i="1"/>
  <c r="G119" i="1"/>
  <c r="H119" i="1" s="1"/>
  <c r="G120" i="1"/>
  <c r="H120" i="1" s="1"/>
  <c r="G121" i="1"/>
  <c r="H121" i="1" s="1"/>
  <c r="G122" i="1"/>
  <c r="H122" i="1"/>
  <c r="G123" i="1"/>
  <c r="H123" i="1" s="1"/>
  <c r="G124" i="1"/>
  <c r="H124" i="1" s="1"/>
  <c r="G125" i="1"/>
  <c r="H125" i="1" s="1"/>
  <c r="G126" i="1"/>
  <c r="H126" i="1" s="1"/>
  <c r="G127" i="1"/>
  <c r="H127" i="1"/>
  <c r="G128" i="1"/>
  <c r="H128" i="1" s="1"/>
  <c r="G129" i="1"/>
  <c r="H129" i="1" s="1"/>
  <c r="G130" i="1"/>
  <c r="H130" i="1" s="1"/>
  <c r="G131" i="1"/>
  <c r="H131" i="1" s="1"/>
  <c r="G132" i="1"/>
  <c r="H132" i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/>
  <c r="G145" i="1"/>
  <c r="H145" i="1" s="1"/>
  <c r="G146" i="1"/>
  <c r="H146" i="1" s="1"/>
  <c r="G147" i="1"/>
  <c r="H147" i="1" s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/>
  <c r="G165" i="1"/>
  <c r="H165" i="1" s="1"/>
  <c r="G166" i="1"/>
  <c r="H166" i="1" s="1"/>
  <c r="G167" i="1"/>
  <c r="H167" i="1" s="1"/>
  <c r="G168" i="1"/>
  <c r="H168" i="1" s="1"/>
  <c r="G169" i="1"/>
  <c r="H169" i="1" s="1"/>
  <c r="G170" i="1"/>
  <c r="H170" i="1" s="1"/>
  <c r="G171" i="1"/>
  <c r="H171" i="1" s="1"/>
  <c r="G172" i="1"/>
  <c r="H172" i="1"/>
  <c r="G2" i="1"/>
  <c r="H2" i="1" s="1"/>
</calcChain>
</file>

<file path=xl/sharedStrings.xml><?xml version="1.0" encoding="utf-8"?>
<sst xmlns="http://schemas.openxmlformats.org/spreadsheetml/2006/main" count="876" uniqueCount="53">
  <si>
    <t>Product Code</t>
  </si>
  <si>
    <t>Product Description</t>
  </si>
  <si>
    <t>Store Cost</t>
  </si>
  <si>
    <t>Sale Price</t>
  </si>
  <si>
    <t>Profit</t>
  </si>
  <si>
    <t>Pool Cover</t>
  </si>
  <si>
    <t>Water Pump</t>
  </si>
  <si>
    <t>5 Gal Chlorine</t>
  </si>
  <si>
    <t>AutoVac</t>
  </si>
  <si>
    <t>Skimmer</t>
  </si>
  <si>
    <t>1 Gal Muratic Acid</t>
  </si>
  <si>
    <t>Net</t>
  </si>
  <si>
    <t>8 ft Hose</t>
  </si>
  <si>
    <t>Algea Killer 8 oz</t>
  </si>
  <si>
    <t>Chlorine Test Kit</t>
  </si>
  <si>
    <t>Sale Location</t>
  </si>
  <si>
    <t>AZ</t>
  </si>
  <si>
    <t>NV</t>
  </si>
  <si>
    <t>CA</t>
  </si>
  <si>
    <t>NM</t>
  </si>
  <si>
    <t>CO</t>
  </si>
  <si>
    <t>UT</t>
  </si>
  <si>
    <t>Month</t>
  </si>
  <si>
    <t>Jan</t>
  </si>
  <si>
    <t>Feb</t>
  </si>
  <si>
    <t>Mar</t>
  </si>
  <si>
    <t>May</t>
  </si>
  <si>
    <t>Aug</t>
  </si>
  <si>
    <t>Oct</t>
  </si>
  <si>
    <t>Nov</t>
  </si>
  <si>
    <t>Dec</t>
  </si>
  <si>
    <t>April</t>
  </si>
  <si>
    <t>June</t>
  </si>
  <si>
    <t>July</t>
  </si>
  <si>
    <t>Sept</t>
  </si>
  <si>
    <t>Transaction Number</t>
  </si>
  <si>
    <t>Chalie</t>
  </si>
  <si>
    <t>Barns</t>
  </si>
  <si>
    <t>Juan</t>
  </si>
  <si>
    <t>Hernandez</t>
  </si>
  <si>
    <t>Doug</t>
  </si>
  <si>
    <t>Smith</t>
  </si>
  <si>
    <t>Hellen</t>
  </si>
  <si>
    <t>Johnson</t>
  </si>
  <si>
    <t>Sales person first name</t>
  </si>
  <si>
    <t>Sales person last name</t>
  </si>
  <si>
    <t>Commision 10% if sale &lt; 50$, 20$ otherwise</t>
  </si>
  <si>
    <t>Sum of all items</t>
  </si>
  <si>
    <t xml:space="preserve">Sum of all items worth more than 50 </t>
  </si>
  <si>
    <t xml:space="preserve">Sum of all items worth less thanequal  50 </t>
  </si>
  <si>
    <t>Sum of Profit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</si>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</sst>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6" formatCode="&quot;₪&quot;#,##0.00"/>
  </numFmts>
  <fonts count="4" x14ac:knownFonts="1">
    <font>
      <sz val="12"/>
      <color theme="1"/>
      <name val="Calibri"/>
      <family val="2"/>
      <charset val="129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14" fontId="0" fillId="0" borderId="0" xfId="1" applyNumberFormat="1" applyFont="1"/>
    <xf numFmtId="164" fontId="0" fillId="0" borderId="0" xfId="1" applyNumberFormat="1" applyFont="1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/>
    <xf numFmtId="166" fontId="0" fillId="0" borderId="0" xfId="0" applyNumberFormat="1"/>
    <xf numFmtId="14" fontId="0" fillId="0" borderId="0" xfId="1" applyNumberFormat="1" applyFon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</cellXfs>
  <cellStyles count="44">
    <cellStyle name="Comma" xfId="1" builtinId="3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Normal" xfId="0" builtinId="0"/>
  </cellStyles>
  <dxfs count="1">
    <dxf>
      <numFmt numFmtId="166" formatCode="&quot;₪&quot;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[CrystalPools.xlsx]Sheet2!PivotTable1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Sheet2!$A$4:$A$8</c:f>
              <c:strCache>
                <c:ptCount val="4"/>
                <c:pt idx="0">
                  <c:v>Barns</c:v>
                </c:pt>
                <c:pt idx="1">
                  <c:v>Hernandez</c:v>
                </c:pt>
                <c:pt idx="2">
                  <c:v>Johnson</c:v>
                </c:pt>
                <c:pt idx="3">
                  <c:v>Smith</c:v>
                </c:pt>
              </c:strCache>
            </c:strRef>
          </c:cat>
          <c:val>
            <c:numRef>
              <c:f>Sheet2!$B$4:$B$8</c:f>
              <c:numCache>
                <c:formatCode>"₪"#,##0.00</c:formatCode>
                <c:ptCount val="4"/>
                <c:pt idx="0">
                  <c:v>2015.1</c:v>
                </c:pt>
                <c:pt idx="1">
                  <c:v>1021.6</c:v>
                </c:pt>
                <c:pt idx="2">
                  <c:v>1084.0999999999999</c:v>
                </c:pt>
                <c:pt idx="3">
                  <c:v>2235.8999999999996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7D-AF48-8B5F-835557BD4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13</xdr:col>
      <xdr:colOff>660400</xdr:colOff>
      <xdr:row>23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DF7FF9-82CC-8841-6E69-7E0C2C780D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si Izaq" refreshedDate="45217.756967361114" createdVersion="8" refreshedVersion="8" minRefreshableVersion="3" recordCount="171" xr:uid="{C5C9A7DE-C571-E346-B37C-112AFFA1BE75}">
  <cacheSource type="worksheet">
    <worksheetSource ref="A1:K172" sheet="Sheet1"/>
  </cacheSource>
  <cacheFields count="11">
    <cacheField name="Month" numFmtId="14">
      <sharedItems/>
    </cacheField>
    <cacheField name="Transaction Number" numFmtId="164">
      <sharedItems containsSemiMixedTypes="0" containsString="0" containsNumber="1" containsInteger="1" minValue="1001" maxValue="1171"/>
    </cacheField>
    <cacheField name="Product Code" numFmtId="0">
      <sharedItems containsSemiMixedTypes="0" containsString="0" containsNumber="1" containsInteger="1" minValue="1109" maxValue="9822"/>
    </cacheField>
    <cacheField name="Product Description" numFmtId="0">
      <sharedItems/>
    </cacheField>
    <cacheField name="Store Cost" numFmtId="0">
      <sharedItems containsSemiMixedTypes="0" containsString="0" containsNumber="1" minValue="3" maxValue="344"/>
    </cacheField>
    <cacheField name="Sale Price" numFmtId="0">
      <sharedItems containsSemiMixedTypes="0" containsString="0" containsNumber="1" minValue="7" maxValue="502"/>
    </cacheField>
    <cacheField name="Profit" numFmtId="166">
      <sharedItems containsSemiMixedTypes="0" containsString="0" containsNumber="1" minValue="2.9999999999999991" maxValue="158" count="9">
        <n v="40.100000000000009"/>
        <n v="4.9000000000000004"/>
        <n v="2.9999999999999991"/>
        <n v="158"/>
        <n v="5"/>
        <n v="42"/>
        <n v="3"/>
        <n v="64"/>
        <n v="35"/>
      </sharedItems>
    </cacheField>
    <cacheField name="Commision 10% if sale &lt; 50$, 20$ otherwise" numFmtId="0">
      <sharedItems containsSemiMixedTypes="0" containsString="0" containsNumber="1" minValue="0.70000000000000007" maxValue="100.4"/>
    </cacheField>
    <cacheField name="Sales person first name" numFmtId="49">
      <sharedItems/>
    </cacheField>
    <cacheField name="Sales person last name" numFmtId="49">
      <sharedItems count="4">
        <s v="Barns"/>
        <s v="Hernandez"/>
        <s v="Smith"/>
        <s v="Johnson"/>
      </sharedItems>
    </cacheField>
    <cacheField name="Sale Loc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">
  <r>
    <s v="Jan"/>
    <n v="1001"/>
    <n v="9822"/>
    <s v="Pool Cover"/>
    <n v="58.3"/>
    <n v="98.4"/>
    <x v="0"/>
    <n v="9.8400000000000016"/>
    <s v="Chalie"/>
    <x v="0"/>
    <s v="NM"/>
  </r>
  <r>
    <s v="Jan"/>
    <n v="1002"/>
    <n v="2877"/>
    <s v="Net"/>
    <n v="11.4"/>
    <n v="16.3"/>
    <x v="1"/>
    <n v="1.6300000000000001"/>
    <s v="Juan"/>
    <x v="1"/>
    <s v="CA"/>
  </r>
  <r>
    <s v="Jan"/>
    <n v="1003"/>
    <n v="2499"/>
    <s v="8 ft Hose"/>
    <n v="6.2"/>
    <n v="9.1999999999999993"/>
    <x v="2"/>
    <n v="0.91999999999999993"/>
    <s v="Doug"/>
    <x v="2"/>
    <s v="AZ"/>
  </r>
  <r>
    <s v="Jan"/>
    <n v="1004"/>
    <n v="8722"/>
    <s v="Water Pump"/>
    <n v="344"/>
    <n v="502"/>
    <x v="3"/>
    <n v="100.4"/>
    <s v="Chalie"/>
    <x v="0"/>
    <s v="AZ"/>
  </r>
  <r>
    <s v="Jan"/>
    <n v="1005"/>
    <n v="1109"/>
    <s v="Chlorine Test Kit"/>
    <n v="3"/>
    <n v="8"/>
    <x v="4"/>
    <n v="0.8"/>
    <s v="Doug"/>
    <x v="2"/>
    <s v="AZ"/>
  </r>
  <r>
    <s v="Jan"/>
    <n v="1006"/>
    <n v="9822"/>
    <s v="Pool Cover"/>
    <n v="58.3"/>
    <n v="98.4"/>
    <x v="0"/>
    <n v="9.8400000000000016"/>
    <s v="Doug"/>
    <x v="2"/>
    <s v="AZ"/>
  </r>
  <r>
    <s v="Jan"/>
    <n v="1007"/>
    <n v="1109"/>
    <s v="Chlorine Test Kit"/>
    <n v="3"/>
    <n v="8"/>
    <x v="4"/>
    <n v="0.8"/>
    <s v="Hellen"/>
    <x v="3"/>
    <s v="NM"/>
  </r>
  <r>
    <s v="Jan"/>
    <n v="1008"/>
    <n v="2877"/>
    <s v="Net"/>
    <n v="11.4"/>
    <n v="16.3"/>
    <x v="1"/>
    <n v="1.6300000000000001"/>
    <s v="Doug"/>
    <x v="2"/>
    <s v="NM"/>
  </r>
  <r>
    <s v="Jan"/>
    <n v="1009"/>
    <n v="1109"/>
    <s v="Chlorine Test Kit"/>
    <n v="3"/>
    <n v="8"/>
    <x v="4"/>
    <n v="0.8"/>
    <s v="Doug"/>
    <x v="2"/>
    <s v="AZ"/>
  </r>
  <r>
    <s v="Jan"/>
    <n v="1010"/>
    <n v="2877"/>
    <s v="Net"/>
    <n v="11.4"/>
    <n v="16.3"/>
    <x v="1"/>
    <n v="1.6300000000000001"/>
    <s v="Juan"/>
    <x v="1"/>
    <s v="CO"/>
  </r>
  <r>
    <s v="Jan"/>
    <n v="1011"/>
    <n v="2877"/>
    <s v="Net"/>
    <n v="11.4"/>
    <n v="16.3"/>
    <x v="1"/>
    <n v="1.6300000000000001"/>
    <s v="Juan"/>
    <x v="1"/>
    <s v="AZ"/>
  </r>
  <r>
    <s v="Jan"/>
    <n v="1012"/>
    <n v="4421"/>
    <s v="Skimmer"/>
    <n v="45"/>
    <n v="87"/>
    <x v="5"/>
    <n v="8.7000000000000011"/>
    <s v="Doug"/>
    <x v="2"/>
    <s v="NM"/>
  </r>
  <r>
    <s v="Jan"/>
    <n v="1013"/>
    <n v="9212"/>
    <s v="1 Gal Muratic Acid"/>
    <n v="4"/>
    <n v="7"/>
    <x v="6"/>
    <n v="0.70000000000000007"/>
    <s v="Hellen"/>
    <x v="3"/>
    <s v="CO"/>
  </r>
  <r>
    <s v="Jan"/>
    <n v="1014"/>
    <n v="8722"/>
    <s v="Water Pump"/>
    <n v="344"/>
    <n v="502"/>
    <x v="3"/>
    <n v="100.4"/>
    <s v="Chalie"/>
    <x v="0"/>
    <s v="CA"/>
  </r>
  <r>
    <s v="Jan"/>
    <n v="1015"/>
    <n v="2877"/>
    <s v="Net"/>
    <n v="11.4"/>
    <n v="16.3"/>
    <x v="1"/>
    <n v="1.6300000000000001"/>
    <s v="Hellen"/>
    <x v="3"/>
    <s v="AZ"/>
  </r>
  <r>
    <s v="Jan"/>
    <n v="1016"/>
    <n v="2499"/>
    <s v="8 ft Hose"/>
    <n v="6.2"/>
    <n v="9.1999999999999993"/>
    <x v="2"/>
    <n v="0.91999999999999993"/>
    <s v="Doug"/>
    <x v="2"/>
    <s v="CA"/>
  </r>
  <r>
    <s v="Feb"/>
    <n v="1017"/>
    <n v="2242"/>
    <s v="AutoVac"/>
    <n v="60"/>
    <n v="124"/>
    <x v="7"/>
    <n v="24.8"/>
    <s v="Juan"/>
    <x v="1"/>
    <s v="NM"/>
  </r>
  <r>
    <s v="Feb"/>
    <n v="1018"/>
    <n v="1109"/>
    <s v="Chlorine Test Kit"/>
    <n v="3"/>
    <n v="8"/>
    <x v="4"/>
    <n v="0.8"/>
    <s v="Doug"/>
    <x v="2"/>
    <s v="CA"/>
  </r>
  <r>
    <s v="Feb"/>
    <n v="1019"/>
    <n v="2499"/>
    <s v="8 ft Hose"/>
    <n v="6.2"/>
    <n v="9.1999999999999993"/>
    <x v="2"/>
    <n v="0.91999999999999993"/>
    <s v="Doug"/>
    <x v="2"/>
    <s v="CO"/>
  </r>
  <r>
    <s v="Feb"/>
    <n v="1020"/>
    <n v="2499"/>
    <s v="8 ft Hose"/>
    <n v="6.2"/>
    <n v="9.1999999999999993"/>
    <x v="2"/>
    <n v="0.91999999999999993"/>
    <s v="Doug"/>
    <x v="2"/>
    <s v="NV"/>
  </r>
  <r>
    <s v="Feb"/>
    <n v="1021"/>
    <n v="1109"/>
    <s v="Chlorine Test Kit"/>
    <n v="3"/>
    <n v="8"/>
    <x v="4"/>
    <n v="0.8"/>
    <s v="Juan"/>
    <x v="1"/>
    <s v="CO"/>
  </r>
  <r>
    <s v="Feb"/>
    <n v="1022"/>
    <n v="2877"/>
    <s v="Net"/>
    <n v="11.4"/>
    <n v="16.3"/>
    <x v="1"/>
    <n v="1.6300000000000001"/>
    <s v="Doug"/>
    <x v="2"/>
    <s v="UT"/>
  </r>
  <r>
    <s v="Feb"/>
    <n v="1023"/>
    <n v="1109"/>
    <s v="Chlorine Test Kit"/>
    <n v="3"/>
    <n v="8"/>
    <x v="4"/>
    <n v="0.8"/>
    <s v="Hellen"/>
    <x v="3"/>
    <s v="NM"/>
  </r>
  <r>
    <s v="Feb"/>
    <n v="1024"/>
    <n v="9212"/>
    <s v="1 Gal Muratic Acid"/>
    <n v="4"/>
    <n v="7"/>
    <x v="6"/>
    <n v="0.70000000000000007"/>
    <s v="Juan"/>
    <x v="1"/>
    <s v="UT"/>
  </r>
  <r>
    <s v="Feb"/>
    <n v="1025"/>
    <n v="2877"/>
    <s v="Net"/>
    <n v="11.4"/>
    <n v="16.3"/>
    <x v="1"/>
    <n v="1.6300000000000001"/>
    <s v="Hellen"/>
    <x v="3"/>
    <s v="NV"/>
  </r>
  <r>
    <s v="Feb"/>
    <n v="1026"/>
    <n v="6119"/>
    <s v="Algea Killer 8 oz"/>
    <n v="9"/>
    <n v="14"/>
    <x v="4"/>
    <n v="1.4000000000000001"/>
    <s v="Hellen"/>
    <x v="3"/>
    <s v="NM"/>
  </r>
  <r>
    <s v="Feb"/>
    <n v="1027"/>
    <n v="6119"/>
    <s v="Algea Killer 8 oz"/>
    <n v="9"/>
    <n v="14"/>
    <x v="4"/>
    <n v="1.4000000000000001"/>
    <s v="Chalie"/>
    <x v="0"/>
    <s v="NV"/>
  </r>
  <r>
    <s v="Feb"/>
    <n v="1028"/>
    <n v="8722"/>
    <s v="Water Pump"/>
    <n v="344"/>
    <n v="502"/>
    <x v="3"/>
    <n v="100.4"/>
    <s v="Chalie"/>
    <x v="0"/>
    <s v="AZ"/>
  </r>
  <r>
    <s v="Feb"/>
    <n v="1029"/>
    <n v="2499"/>
    <s v="8 ft Hose"/>
    <n v="6.2"/>
    <n v="9.1999999999999993"/>
    <x v="2"/>
    <n v="0.91999999999999993"/>
    <s v="Juan"/>
    <x v="1"/>
    <s v="AZ"/>
  </r>
  <r>
    <s v="Feb"/>
    <n v="1030"/>
    <n v="4421"/>
    <s v="Skimmer"/>
    <n v="45"/>
    <n v="87"/>
    <x v="5"/>
    <n v="8.7000000000000011"/>
    <s v="Juan"/>
    <x v="1"/>
    <s v="NV"/>
  </r>
  <r>
    <s v="Feb"/>
    <n v="1031"/>
    <n v="1109"/>
    <s v="Chlorine Test Kit"/>
    <n v="3"/>
    <n v="8"/>
    <x v="4"/>
    <n v="0.8"/>
    <s v="Juan"/>
    <x v="1"/>
    <s v="CA"/>
  </r>
  <r>
    <s v="Feb"/>
    <n v="1032"/>
    <n v="2877"/>
    <s v="Net"/>
    <n v="11.4"/>
    <n v="16.3"/>
    <x v="1"/>
    <n v="1.6300000000000001"/>
    <s v="Chalie"/>
    <x v="0"/>
    <s v="AZ"/>
  </r>
  <r>
    <s v="Feb"/>
    <n v="1033"/>
    <n v="9822"/>
    <s v="Pool Cover"/>
    <n v="58.3"/>
    <n v="98.4"/>
    <x v="0"/>
    <n v="9.8400000000000016"/>
    <s v="Juan"/>
    <x v="1"/>
    <s v="CA"/>
  </r>
  <r>
    <s v="Feb"/>
    <n v="1034"/>
    <n v="2877"/>
    <s v="Net"/>
    <n v="11.4"/>
    <n v="16.3"/>
    <x v="1"/>
    <n v="1.6300000000000001"/>
    <s v="Juan"/>
    <x v="1"/>
    <s v="CO"/>
  </r>
  <r>
    <s v="Mar"/>
    <n v="1035"/>
    <n v="2499"/>
    <s v="8 ft Hose"/>
    <n v="6.2"/>
    <n v="9.1999999999999993"/>
    <x v="2"/>
    <n v="0.91999999999999993"/>
    <s v="Hellen"/>
    <x v="3"/>
    <s v="CA"/>
  </r>
  <r>
    <s v="Mar"/>
    <n v="1036"/>
    <n v="2499"/>
    <s v="8 ft Hose"/>
    <n v="6.2"/>
    <n v="9.1999999999999993"/>
    <x v="2"/>
    <n v="0.91999999999999993"/>
    <s v="Juan"/>
    <x v="1"/>
    <s v="NV"/>
  </r>
  <r>
    <s v="Mar"/>
    <n v="1037"/>
    <n v="6622"/>
    <s v="5 Gal Chlorine"/>
    <n v="42"/>
    <n v="77"/>
    <x v="8"/>
    <n v="7.7"/>
    <s v="Juan"/>
    <x v="1"/>
    <s v="NV"/>
  </r>
  <r>
    <s v="Mar"/>
    <n v="1038"/>
    <n v="2499"/>
    <s v="8 ft Hose"/>
    <n v="6.2"/>
    <n v="9.1999999999999993"/>
    <x v="2"/>
    <n v="0.91999999999999993"/>
    <s v="Juan"/>
    <x v="1"/>
    <s v="NV"/>
  </r>
  <r>
    <s v="Mar"/>
    <n v="1039"/>
    <n v="2877"/>
    <s v="Net"/>
    <n v="11.4"/>
    <n v="16.3"/>
    <x v="1"/>
    <n v="1.6300000000000001"/>
    <s v="Juan"/>
    <x v="1"/>
    <s v="CA"/>
  </r>
  <r>
    <s v="Mar"/>
    <n v="1040"/>
    <n v="1109"/>
    <s v="Chlorine Test Kit"/>
    <n v="3"/>
    <n v="8"/>
    <x v="4"/>
    <n v="0.8"/>
    <s v="Juan"/>
    <x v="1"/>
    <s v="AZ"/>
  </r>
  <r>
    <s v="Mar"/>
    <n v="1041"/>
    <n v="2499"/>
    <s v="8 ft Hose"/>
    <n v="6.2"/>
    <n v="9.1999999999999993"/>
    <x v="2"/>
    <n v="0.91999999999999993"/>
    <s v="Chalie"/>
    <x v="0"/>
    <s v="NM"/>
  </r>
  <r>
    <s v="Mar"/>
    <n v="1042"/>
    <n v="8722"/>
    <s v="Water Pump"/>
    <n v="344"/>
    <n v="502"/>
    <x v="3"/>
    <n v="100.4"/>
    <s v="Doug"/>
    <x v="2"/>
    <s v="NM"/>
  </r>
  <r>
    <s v="Mar"/>
    <n v="1043"/>
    <n v="2242"/>
    <s v="AutoVac"/>
    <n v="60"/>
    <n v="124"/>
    <x v="7"/>
    <n v="24.8"/>
    <s v="Doug"/>
    <x v="2"/>
    <s v="CA"/>
  </r>
  <r>
    <s v="Mar"/>
    <n v="1044"/>
    <n v="2877"/>
    <s v="Net"/>
    <n v="11.4"/>
    <n v="16.3"/>
    <x v="1"/>
    <n v="1.6300000000000001"/>
    <s v="Doug"/>
    <x v="2"/>
    <s v="CA"/>
  </r>
  <r>
    <s v="Mar"/>
    <n v="1045"/>
    <n v="8722"/>
    <s v="Water Pump"/>
    <n v="344"/>
    <n v="502"/>
    <x v="3"/>
    <n v="100.4"/>
    <s v="Hellen"/>
    <x v="3"/>
    <s v="AZ"/>
  </r>
  <r>
    <s v="Mar"/>
    <n v="1046"/>
    <n v="6119"/>
    <s v="Algea Killer 8 oz"/>
    <n v="9"/>
    <n v="14"/>
    <x v="4"/>
    <n v="1.4000000000000001"/>
    <s v="Juan"/>
    <x v="1"/>
    <s v="UT"/>
  </r>
  <r>
    <s v="Mar"/>
    <n v="1047"/>
    <n v="6622"/>
    <s v="5 Gal Chlorine"/>
    <n v="42"/>
    <n v="77"/>
    <x v="8"/>
    <n v="7.7"/>
    <s v="Hellen"/>
    <x v="3"/>
    <s v="AZ"/>
  </r>
  <r>
    <s v="Mar"/>
    <n v="1048"/>
    <n v="8722"/>
    <s v="Water Pump"/>
    <n v="344"/>
    <n v="502"/>
    <x v="3"/>
    <n v="100.4"/>
    <s v="Chalie"/>
    <x v="0"/>
    <s v="AZ"/>
  </r>
  <r>
    <s v="April"/>
    <n v="1049"/>
    <n v="2499"/>
    <s v="8 ft Hose"/>
    <n v="6.2"/>
    <n v="9.1999999999999993"/>
    <x v="2"/>
    <n v="0.91999999999999993"/>
    <s v="Chalie"/>
    <x v="0"/>
    <s v="CO"/>
  </r>
  <r>
    <s v="April"/>
    <n v="1050"/>
    <n v="2877"/>
    <s v="Net"/>
    <n v="11.4"/>
    <n v="16.3"/>
    <x v="1"/>
    <n v="1.6300000000000001"/>
    <s v="Chalie"/>
    <x v="0"/>
    <s v="AZ"/>
  </r>
  <r>
    <s v="April"/>
    <n v="1051"/>
    <n v="6119"/>
    <s v="Algea Killer 8 oz"/>
    <n v="9"/>
    <n v="14"/>
    <x v="4"/>
    <n v="1.4000000000000001"/>
    <s v="Doug"/>
    <x v="2"/>
    <s v="UT"/>
  </r>
  <r>
    <s v="April"/>
    <n v="1052"/>
    <n v="6622"/>
    <s v="5 Gal Chlorine"/>
    <n v="42"/>
    <n v="77"/>
    <x v="8"/>
    <n v="7.7"/>
    <s v="Doug"/>
    <x v="2"/>
    <s v="AZ"/>
  </r>
  <r>
    <s v="April"/>
    <n v="1053"/>
    <n v="2242"/>
    <s v="AutoVac"/>
    <n v="60"/>
    <n v="124"/>
    <x v="7"/>
    <n v="24.8"/>
    <s v="Chalie"/>
    <x v="0"/>
    <s v="CA"/>
  </r>
  <r>
    <s v="April"/>
    <n v="1054"/>
    <n v="4421"/>
    <s v="Skimmer"/>
    <n v="45"/>
    <n v="87"/>
    <x v="5"/>
    <n v="8.7000000000000011"/>
    <s v="Doug"/>
    <x v="2"/>
    <s v="NV"/>
  </r>
  <r>
    <s v="April"/>
    <n v="1055"/>
    <n v="6119"/>
    <s v="Algea Killer 8 oz"/>
    <n v="9"/>
    <n v="14"/>
    <x v="4"/>
    <n v="1.4000000000000001"/>
    <s v="Juan"/>
    <x v="1"/>
    <s v="NV"/>
  </r>
  <r>
    <s v="April"/>
    <n v="1056"/>
    <n v="1109"/>
    <s v="Chlorine Test Kit"/>
    <n v="3"/>
    <n v="8"/>
    <x v="4"/>
    <n v="0.8"/>
    <s v="Doug"/>
    <x v="2"/>
    <s v="CA"/>
  </r>
  <r>
    <s v="April"/>
    <n v="1057"/>
    <n v="2499"/>
    <s v="8 ft Hose"/>
    <n v="6.2"/>
    <n v="9.1999999999999993"/>
    <x v="2"/>
    <n v="0.91999999999999993"/>
    <s v="Juan"/>
    <x v="1"/>
    <s v="CA"/>
  </r>
  <r>
    <s v="April"/>
    <n v="1058"/>
    <n v="6119"/>
    <s v="Algea Killer 8 oz"/>
    <n v="9"/>
    <n v="14"/>
    <x v="4"/>
    <n v="1.4000000000000001"/>
    <s v="Hellen"/>
    <x v="3"/>
    <s v="AZ"/>
  </r>
  <r>
    <s v="April"/>
    <n v="1059"/>
    <n v="2242"/>
    <s v="AutoVac"/>
    <n v="60"/>
    <n v="124"/>
    <x v="7"/>
    <n v="24.8"/>
    <s v="Doug"/>
    <x v="2"/>
    <s v="AZ"/>
  </r>
  <r>
    <s v="April"/>
    <n v="1060"/>
    <n v="6119"/>
    <s v="Algea Killer 8 oz"/>
    <n v="9"/>
    <n v="14"/>
    <x v="4"/>
    <n v="1.4000000000000001"/>
    <s v="Doug"/>
    <x v="2"/>
    <s v="NV"/>
  </r>
  <r>
    <s v="May"/>
    <n v="1061"/>
    <n v="1109"/>
    <s v="Chlorine Test Kit"/>
    <n v="3"/>
    <n v="8"/>
    <x v="4"/>
    <n v="0.8"/>
    <s v="Doug"/>
    <x v="2"/>
    <s v="NV"/>
  </r>
  <r>
    <s v="May"/>
    <n v="1062"/>
    <n v="2499"/>
    <s v="8 ft Hose"/>
    <n v="6.2"/>
    <n v="9.1999999999999993"/>
    <x v="2"/>
    <n v="0.91999999999999993"/>
    <s v="Chalie"/>
    <x v="0"/>
    <s v="AZ"/>
  </r>
  <r>
    <s v="May"/>
    <n v="1063"/>
    <n v="1109"/>
    <s v="Chlorine Test Kit"/>
    <n v="3"/>
    <n v="8"/>
    <x v="4"/>
    <n v="0.8"/>
    <s v="Doug"/>
    <x v="2"/>
    <s v="CA"/>
  </r>
  <r>
    <s v="May"/>
    <n v="1064"/>
    <n v="2499"/>
    <s v="8 ft Hose"/>
    <n v="6.2"/>
    <n v="9.1999999999999993"/>
    <x v="2"/>
    <n v="0.91999999999999993"/>
    <s v="Hellen"/>
    <x v="3"/>
    <s v="AZ"/>
  </r>
  <r>
    <s v="May"/>
    <n v="1065"/>
    <n v="2499"/>
    <s v="8 ft Hose"/>
    <n v="6.2"/>
    <n v="9.1999999999999993"/>
    <x v="2"/>
    <n v="0.91999999999999993"/>
    <s v="Doug"/>
    <x v="2"/>
    <s v="NM"/>
  </r>
  <r>
    <s v="May"/>
    <n v="1066"/>
    <n v="2877"/>
    <s v="Net"/>
    <n v="11.4"/>
    <n v="16.3"/>
    <x v="1"/>
    <n v="1.6300000000000001"/>
    <s v="Doug"/>
    <x v="2"/>
    <s v="NV"/>
  </r>
  <r>
    <s v="May"/>
    <n v="1067"/>
    <n v="2877"/>
    <s v="Net"/>
    <n v="11.4"/>
    <n v="16.3"/>
    <x v="1"/>
    <n v="1.6300000000000001"/>
    <s v="Doug"/>
    <x v="2"/>
    <s v="UT"/>
  </r>
  <r>
    <s v="May"/>
    <n v="1068"/>
    <n v="6119"/>
    <s v="Algea Killer 8 oz"/>
    <n v="9"/>
    <n v="14"/>
    <x v="4"/>
    <n v="1.4000000000000001"/>
    <s v="Juan"/>
    <x v="1"/>
    <s v="CA"/>
  </r>
  <r>
    <s v="May"/>
    <n v="1069"/>
    <n v="1109"/>
    <s v="Chlorine Test Kit"/>
    <n v="3"/>
    <n v="8"/>
    <x v="4"/>
    <n v="0.8"/>
    <s v="Doug"/>
    <x v="2"/>
    <s v="AZ"/>
  </r>
  <r>
    <s v="May"/>
    <n v="1070"/>
    <n v="2499"/>
    <s v="8 ft Hose"/>
    <n v="6.2"/>
    <n v="9.1999999999999993"/>
    <x v="2"/>
    <n v="0.91999999999999993"/>
    <s v="Hellen"/>
    <x v="3"/>
    <s v="AZ"/>
  </r>
  <r>
    <s v="May"/>
    <n v="1071"/>
    <n v="1109"/>
    <s v="Chlorine Test Kit"/>
    <n v="3"/>
    <n v="8"/>
    <x v="4"/>
    <n v="0.8"/>
    <s v="Chalie"/>
    <x v="0"/>
    <s v="AZ"/>
  </r>
  <r>
    <s v="May"/>
    <n v="1072"/>
    <n v="1109"/>
    <s v="Chlorine Test Kit"/>
    <n v="3"/>
    <n v="8"/>
    <x v="4"/>
    <n v="0.8"/>
    <s v="Doug"/>
    <x v="2"/>
    <s v="NV"/>
  </r>
  <r>
    <s v="May"/>
    <n v="1073"/>
    <n v="6622"/>
    <s v="5 Gal Chlorine"/>
    <n v="42"/>
    <n v="77"/>
    <x v="8"/>
    <n v="7.7"/>
    <s v="Doug"/>
    <x v="2"/>
    <s v="CA"/>
  </r>
  <r>
    <s v="May"/>
    <n v="1074"/>
    <n v="2877"/>
    <s v="Net"/>
    <n v="11.4"/>
    <n v="16.3"/>
    <x v="1"/>
    <n v="1.6300000000000001"/>
    <s v="Doug"/>
    <x v="2"/>
    <s v="AZ"/>
  </r>
  <r>
    <s v="May"/>
    <n v="1075"/>
    <n v="1109"/>
    <s v="Chlorine Test Kit"/>
    <n v="3"/>
    <n v="8"/>
    <x v="4"/>
    <n v="0.8"/>
    <s v="Hellen"/>
    <x v="3"/>
    <s v="CA"/>
  </r>
  <r>
    <s v="May"/>
    <n v="1076"/>
    <n v="1109"/>
    <s v="Chlorine Test Kit"/>
    <n v="3"/>
    <n v="8"/>
    <x v="4"/>
    <n v="0.8"/>
    <s v="Juan"/>
    <x v="1"/>
    <s v="AZ"/>
  </r>
  <r>
    <s v="May"/>
    <n v="1077"/>
    <n v="9822"/>
    <s v="Pool Cover"/>
    <n v="58.3"/>
    <n v="98.4"/>
    <x v="0"/>
    <n v="9.8400000000000016"/>
    <s v="Hellen"/>
    <x v="3"/>
    <s v="AZ"/>
  </r>
  <r>
    <s v="May"/>
    <n v="1078"/>
    <n v="2877"/>
    <s v="Net"/>
    <n v="11.4"/>
    <n v="16.3"/>
    <x v="1"/>
    <n v="1.6300000000000001"/>
    <s v="Juan"/>
    <x v="1"/>
    <s v="NV"/>
  </r>
  <r>
    <s v="June"/>
    <n v="1079"/>
    <n v="2877"/>
    <s v="Net"/>
    <n v="11.4"/>
    <n v="16.3"/>
    <x v="1"/>
    <n v="1.6300000000000001"/>
    <s v="Juan"/>
    <x v="1"/>
    <s v="NM"/>
  </r>
  <r>
    <s v="June"/>
    <n v="1080"/>
    <n v="4421"/>
    <s v="Skimmer"/>
    <n v="45"/>
    <n v="87"/>
    <x v="5"/>
    <n v="8.7000000000000011"/>
    <s v="Doug"/>
    <x v="2"/>
    <s v="CA"/>
  </r>
  <r>
    <s v="June"/>
    <n v="1081"/>
    <n v="6119"/>
    <s v="Algea Killer 8 oz"/>
    <n v="9"/>
    <n v="14"/>
    <x v="4"/>
    <n v="1.4000000000000001"/>
    <s v="Doug"/>
    <x v="2"/>
    <s v="UT"/>
  </r>
  <r>
    <s v="June"/>
    <n v="1082"/>
    <n v="1109"/>
    <s v="Chlorine Test Kit"/>
    <n v="3"/>
    <n v="8"/>
    <x v="4"/>
    <n v="0.8"/>
    <s v="Chalie"/>
    <x v="0"/>
    <s v="CA"/>
  </r>
  <r>
    <s v="June"/>
    <n v="1083"/>
    <n v="1109"/>
    <s v="Chlorine Test Kit"/>
    <n v="3"/>
    <n v="8"/>
    <x v="4"/>
    <n v="0.8"/>
    <s v="Chalie"/>
    <x v="0"/>
    <s v="NV"/>
  </r>
  <r>
    <s v="June"/>
    <n v="1084"/>
    <n v="6119"/>
    <s v="Algea Killer 8 oz"/>
    <n v="9"/>
    <n v="14"/>
    <x v="4"/>
    <n v="1.4000000000000001"/>
    <s v="Chalie"/>
    <x v="0"/>
    <s v="AZ"/>
  </r>
  <r>
    <s v="June"/>
    <n v="1085"/>
    <n v="9822"/>
    <s v="Pool Cover"/>
    <n v="58.3"/>
    <n v="98.4"/>
    <x v="0"/>
    <n v="9.8400000000000016"/>
    <s v="Doug"/>
    <x v="2"/>
    <s v="NV"/>
  </r>
  <r>
    <s v="June"/>
    <n v="1086"/>
    <n v="1109"/>
    <s v="Chlorine Test Kit"/>
    <n v="3"/>
    <n v="8"/>
    <x v="4"/>
    <n v="0.8"/>
    <s v="Hellen"/>
    <x v="3"/>
    <s v="AZ"/>
  </r>
  <r>
    <s v="June"/>
    <n v="1087"/>
    <n v="2499"/>
    <s v="8 ft Hose"/>
    <n v="6.2"/>
    <n v="9.1999999999999993"/>
    <x v="2"/>
    <n v="0.91999999999999993"/>
    <s v="Chalie"/>
    <x v="0"/>
    <s v="CA"/>
  </r>
  <r>
    <s v="June"/>
    <n v="1088"/>
    <n v="2499"/>
    <s v="8 ft Hose"/>
    <n v="6.2"/>
    <n v="9.1999999999999993"/>
    <x v="2"/>
    <n v="0.91999999999999993"/>
    <s v="Chalie"/>
    <x v="0"/>
    <s v="NM"/>
  </r>
  <r>
    <s v="June"/>
    <n v="1089"/>
    <n v="6119"/>
    <s v="Algea Killer 8 oz"/>
    <n v="9"/>
    <n v="14"/>
    <x v="4"/>
    <n v="1.4000000000000001"/>
    <s v="Doug"/>
    <x v="2"/>
    <s v="NV"/>
  </r>
  <r>
    <s v="June"/>
    <n v="1090"/>
    <n v="2877"/>
    <s v="Net"/>
    <n v="11.4"/>
    <n v="16.3"/>
    <x v="1"/>
    <n v="1.6300000000000001"/>
    <s v="Chalie"/>
    <x v="0"/>
    <s v="CA"/>
  </r>
  <r>
    <s v="June"/>
    <n v="1091"/>
    <n v="2877"/>
    <s v="Net"/>
    <n v="11.4"/>
    <n v="16.3"/>
    <x v="1"/>
    <n v="1.6300000000000001"/>
    <s v="Hellen"/>
    <x v="3"/>
    <s v="NV"/>
  </r>
  <r>
    <s v="June"/>
    <n v="1092"/>
    <n v="2877"/>
    <s v="Net"/>
    <n v="11.4"/>
    <n v="16.3"/>
    <x v="1"/>
    <n v="1.6300000000000001"/>
    <s v="Doug"/>
    <x v="2"/>
    <s v="CA"/>
  </r>
  <r>
    <s v="June"/>
    <n v="1093"/>
    <n v="6119"/>
    <s v="Algea Killer 8 oz"/>
    <n v="9"/>
    <n v="14"/>
    <x v="4"/>
    <n v="1.4000000000000001"/>
    <s v="Juan"/>
    <x v="1"/>
    <s v="AZ"/>
  </r>
  <r>
    <s v="June"/>
    <n v="1094"/>
    <n v="6119"/>
    <s v="Algea Killer 8 oz"/>
    <n v="9"/>
    <n v="14"/>
    <x v="4"/>
    <n v="1.4000000000000001"/>
    <s v="Doug"/>
    <x v="2"/>
    <s v="CA"/>
  </r>
  <r>
    <s v="June"/>
    <n v="1095"/>
    <n v="2499"/>
    <s v="8 ft Hose"/>
    <n v="6.2"/>
    <n v="9.1999999999999993"/>
    <x v="2"/>
    <n v="0.91999999999999993"/>
    <s v="Hellen"/>
    <x v="3"/>
    <s v="AZ"/>
  </r>
  <r>
    <s v="June"/>
    <n v="1096"/>
    <n v="6119"/>
    <s v="Algea Killer 8 oz"/>
    <n v="9"/>
    <n v="14"/>
    <x v="4"/>
    <n v="1.4000000000000001"/>
    <s v="Doug"/>
    <x v="2"/>
    <s v="AZ"/>
  </r>
  <r>
    <s v="June"/>
    <n v="1097"/>
    <n v="9212"/>
    <s v="1 Gal Muratic Acid"/>
    <n v="4"/>
    <n v="7"/>
    <x v="6"/>
    <n v="0.70000000000000007"/>
    <s v="Hellen"/>
    <x v="3"/>
    <s v="NV"/>
  </r>
  <r>
    <s v="June"/>
    <n v="1098"/>
    <n v="2877"/>
    <s v="Net"/>
    <n v="11.4"/>
    <n v="16.3"/>
    <x v="1"/>
    <n v="1.6300000000000001"/>
    <s v="Juan"/>
    <x v="1"/>
    <s v="NM"/>
  </r>
  <r>
    <s v="July"/>
    <n v="1099"/>
    <n v="2877"/>
    <s v="Net"/>
    <n v="11.4"/>
    <n v="16.3"/>
    <x v="1"/>
    <n v="1.6300000000000001"/>
    <s v="Doug"/>
    <x v="2"/>
    <s v="CA"/>
  </r>
  <r>
    <s v="July"/>
    <n v="1100"/>
    <n v="6119"/>
    <s v="Algea Killer 8 oz"/>
    <n v="9"/>
    <n v="14"/>
    <x v="4"/>
    <n v="1.4000000000000001"/>
    <s v="Chalie"/>
    <x v="0"/>
    <s v="UT"/>
  </r>
  <r>
    <s v="July"/>
    <n v="1101"/>
    <n v="2499"/>
    <s v="8 ft Hose"/>
    <n v="6.2"/>
    <n v="9.1999999999999993"/>
    <x v="2"/>
    <n v="0.91999999999999993"/>
    <s v="Doug"/>
    <x v="2"/>
    <s v="CA"/>
  </r>
  <r>
    <s v="July"/>
    <n v="1102"/>
    <n v="2242"/>
    <s v="AutoVac"/>
    <n v="60"/>
    <n v="124"/>
    <x v="7"/>
    <n v="24.8"/>
    <s v="Juan"/>
    <x v="1"/>
    <s v="NV"/>
  </r>
  <r>
    <s v="July"/>
    <n v="1103"/>
    <n v="2877"/>
    <s v="Net"/>
    <n v="11.4"/>
    <n v="16.3"/>
    <x v="1"/>
    <n v="1.6300000000000001"/>
    <s v="Juan"/>
    <x v="1"/>
    <s v="AZ"/>
  </r>
  <r>
    <s v="July"/>
    <n v="1104"/>
    <n v="2877"/>
    <s v="Net"/>
    <n v="11.4"/>
    <n v="16.3"/>
    <x v="1"/>
    <n v="1.6300000000000001"/>
    <s v="Doug"/>
    <x v="2"/>
    <s v="NV"/>
  </r>
  <r>
    <s v="July"/>
    <n v="1105"/>
    <n v="2499"/>
    <s v="8 ft Hose"/>
    <n v="6.2"/>
    <n v="9.1999999999999993"/>
    <x v="2"/>
    <n v="0.91999999999999993"/>
    <s v="Juan"/>
    <x v="1"/>
    <s v="AZ"/>
  </r>
  <r>
    <s v="July"/>
    <n v="1106"/>
    <n v="9822"/>
    <s v="Pool Cover"/>
    <n v="58.3"/>
    <n v="98.4"/>
    <x v="0"/>
    <n v="9.8400000000000016"/>
    <s v="Juan"/>
    <x v="1"/>
    <s v="CA"/>
  </r>
  <r>
    <s v="July"/>
    <n v="1107"/>
    <n v="1109"/>
    <s v="Chlorine Test Kit"/>
    <n v="3"/>
    <n v="8"/>
    <x v="4"/>
    <n v="0.8"/>
    <s v="Hellen"/>
    <x v="3"/>
    <s v="NM"/>
  </r>
  <r>
    <s v="July"/>
    <n v="1108"/>
    <n v="9822"/>
    <s v="Pool Cover"/>
    <n v="58.3"/>
    <n v="98.4"/>
    <x v="0"/>
    <n v="9.8400000000000016"/>
    <s v="Doug"/>
    <x v="2"/>
    <s v="NV"/>
  </r>
  <r>
    <s v="July"/>
    <n v="1109"/>
    <n v="8722"/>
    <s v="Water Pump"/>
    <n v="344"/>
    <n v="502"/>
    <x v="3"/>
    <n v="100.4"/>
    <s v="Juan"/>
    <x v="1"/>
    <s v="CA"/>
  </r>
  <r>
    <s v="July"/>
    <n v="1110"/>
    <n v="8722"/>
    <s v="Water Pump"/>
    <n v="344"/>
    <n v="502"/>
    <x v="3"/>
    <n v="100.4"/>
    <s v="Hellen"/>
    <x v="3"/>
    <s v="NV"/>
  </r>
  <r>
    <s v="July"/>
    <n v="1111"/>
    <n v="6622"/>
    <s v="5 Gal Chlorine"/>
    <n v="42"/>
    <n v="77"/>
    <x v="8"/>
    <n v="7.7"/>
    <s v="Hellen"/>
    <x v="3"/>
    <s v="CA"/>
  </r>
  <r>
    <s v="July"/>
    <n v="1112"/>
    <n v="6622"/>
    <s v="5 Gal Chlorine"/>
    <n v="42"/>
    <n v="77"/>
    <x v="8"/>
    <n v="7.7"/>
    <s v="Doug"/>
    <x v="2"/>
    <s v="AZ"/>
  </r>
  <r>
    <s v="July"/>
    <n v="1113"/>
    <n v="9822"/>
    <s v="Pool Cover"/>
    <n v="58.3"/>
    <n v="98.4"/>
    <x v="0"/>
    <n v="9.8400000000000016"/>
    <s v="Chalie"/>
    <x v="0"/>
    <s v="CA"/>
  </r>
  <r>
    <s v="July"/>
    <n v="1114"/>
    <n v="2242"/>
    <s v="AutoVac"/>
    <n v="60"/>
    <n v="124"/>
    <x v="7"/>
    <n v="24.8"/>
    <s v="Juan"/>
    <x v="1"/>
    <s v="AZ"/>
  </r>
  <r>
    <s v="July"/>
    <n v="1115"/>
    <n v="8722"/>
    <s v="Water Pump"/>
    <n v="344"/>
    <n v="502"/>
    <x v="3"/>
    <n v="100.4"/>
    <s v="Chalie"/>
    <x v="0"/>
    <s v="AZ"/>
  </r>
  <r>
    <s v="July"/>
    <n v="1116"/>
    <n v="6622"/>
    <s v="5 Gal Chlorine"/>
    <n v="42"/>
    <n v="77"/>
    <x v="8"/>
    <n v="7.7"/>
    <s v="Doug"/>
    <x v="2"/>
    <s v="NV"/>
  </r>
  <r>
    <s v="July"/>
    <n v="1117"/>
    <n v="8722"/>
    <s v="Water Pump"/>
    <n v="344"/>
    <n v="502"/>
    <x v="3"/>
    <n v="100.4"/>
    <s v="Hellen"/>
    <x v="3"/>
    <s v="NM"/>
  </r>
  <r>
    <s v="July"/>
    <n v="1118"/>
    <n v="9822"/>
    <s v="Pool Cover"/>
    <n v="58.3"/>
    <n v="98.4"/>
    <x v="0"/>
    <n v="9.8400000000000016"/>
    <s v="Juan"/>
    <x v="1"/>
    <s v="CA"/>
  </r>
  <r>
    <s v="July"/>
    <n v="1119"/>
    <n v="2242"/>
    <s v="AutoVac"/>
    <n v="60"/>
    <n v="124"/>
    <x v="7"/>
    <n v="24.8"/>
    <s v="Chalie"/>
    <x v="0"/>
    <s v="UT"/>
  </r>
  <r>
    <s v="July"/>
    <n v="1120"/>
    <n v="2242"/>
    <s v="AutoVac"/>
    <n v="60"/>
    <n v="124"/>
    <x v="7"/>
    <n v="24.8"/>
    <s v="Doug"/>
    <x v="2"/>
    <s v="CA"/>
  </r>
  <r>
    <s v="July"/>
    <n v="1121"/>
    <n v="4421"/>
    <s v="Skimmer"/>
    <n v="45"/>
    <n v="87"/>
    <x v="5"/>
    <n v="8.7000000000000011"/>
    <s v="Doug"/>
    <x v="2"/>
    <s v="NV"/>
  </r>
  <r>
    <s v="July"/>
    <n v="1122"/>
    <n v="8722"/>
    <s v="Water Pump"/>
    <n v="344"/>
    <n v="502"/>
    <x v="3"/>
    <n v="100.4"/>
    <s v="Doug"/>
    <x v="2"/>
    <s v="AZ"/>
  </r>
  <r>
    <s v="July"/>
    <n v="1123"/>
    <n v="9822"/>
    <s v="Pool Cover"/>
    <n v="58.3"/>
    <n v="98.4"/>
    <x v="0"/>
    <n v="9.8400000000000016"/>
    <s v="Doug"/>
    <x v="2"/>
    <s v="NV"/>
  </r>
  <r>
    <s v="July"/>
    <n v="1124"/>
    <n v="4421"/>
    <s v="Skimmer"/>
    <n v="45"/>
    <n v="87"/>
    <x v="5"/>
    <n v="8.7000000000000011"/>
    <s v="Doug"/>
    <x v="2"/>
    <s v="AZ"/>
  </r>
  <r>
    <s v="Aug"/>
    <n v="1125"/>
    <n v="2242"/>
    <s v="AutoVac"/>
    <n v="60"/>
    <n v="124"/>
    <x v="7"/>
    <n v="24.8"/>
    <s v="Doug"/>
    <x v="2"/>
    <s v="CA"/>
  </r>
  <r>
    <s v="Aug"/>
    <n v="1126"/>
    <n v="9212"/>
    <s v="1 Gal Muratic Acid"/>
    <n v="4"/>
    <n v="7"/>
    <x v="6"/>
    <n v="0.70000000000000007"/>
    <s v="Doug"/>
    <x v="2"/>
    <s v="NM"/>
  </r>
  <r>
    <s v="Aug"/>
    <n v="1127"/>
    <n v="8722"/>
    <s v="Water Pump"/>
    <n v="344"/>
    <n v="502"/>
    <x v="3"/>
    <n v="100.4"/>
    <s v="Chalie"/>
    <x v="0"/>
    <s v="NV"/>
  </r>
  <r>
    <s v="Aug"/>
    <n v="1128"/>
    <n v="6622"/>
    <s v="5 Gal Chlorine"/>
    <n v="42"/>
    <n v="77"/>
    <x v="8"/>
    <n v="7.7"/>
    <s v="Juan"/>
    <x v="1"/>
    <s v="CA"/>
  </r>
  <r>
    <s v="Aug"/>
    <n v="1129"/>
    <n v="9822"/>
    <s v="Pool Cover"/>
    <n v="58.3"/>
    <n v="98.4"/>
    <x v="0"/>
    <n v="9.8400000000000016"/>
    <s v="Hellen"/>
    <x v="3"/>
    <s v="NV"/>
  </r>
  <r>
    <s v="Aug"/>
    <n v="1130"/>
    <n v="4421"/>
    <s v="Skimmer"/>
    <n v="45"/>
    <n v="87"/>
    <x v="5"/>
    <n v="8.7000000000000011"/>
    <s v="Hellen"/>
    <x v="3"/>
    <s v="CA"/>
  </r>
  <r>
    <s v="Aug"/>
    <n v="1131"/>
    <n v="9212"/>
    <s v="1 Gal Muratic Acid"/>
    <n v="4"/>
    <n v="7"/>
    <x v="6"/>
    <n v="0.70000000000000007"/>
    <s v="Hellen"/>
    <x v="3"/>
    <s v="AZ"/>
  </r>
  <r>
    <s v="Aug"/>
    <n v="1132"/>
    <n v="9212"/>
    <s v="1 Gal Muratic Acid"/>
    <n v="4"/>
    <n v="7"/>
    <x v="6"/>
    <n v="0.70000000000000007"/>
    <s v="Hellen"/>
    <x v="3"/>
    <s v="CA"/>
  </r>
  <r>
    <s v="Aug"/>
    <n v="1133"/>
    <n v="9822"/>
    <s v="Pool Cover"/>
    <n v="58.3"/>
    <n v="98.4"/>
    <x v="0"/>
    <n v="9.8400000000000016"/>
    <s v="Chalie"/>
    <x v="0"/>
    <s v="AZ"/>
  </r>
  <r>
    <s v="Aug"/>
    <n v="1134"/>
    <n v="9822"/>
    <s v="Pool Cover"/>
    <n v="58.3"/>
    <n v="98.4"/>
    <x v="0"/>
    <n v="9.8400000000000016"/>
    <s v="Doug"/>
    <x v="2"/>
    <s v="AZ"/>
  </r>
  <r>
    <s v="Aug"/>
    <n v="1135"/>
    <n v="8722"/>
    <s v="Water Pump"/>
    <n v="344"/>
    <n v="502"/>
    <x v="3"/>
    <n v="100.4"/>
    <s v="Chalie"/>
    <x v="0"/>
    <s v="NV"/>
  </r>
  <r>
    <s v="Aug"/>
    <n v="1136"/>
    <n v="2242"/>
    <s v="AutoVac"/>
    <n v="60"/>
    <n v="124"/>
    <x v="7"/>
    <n v="24.8"/>
    <s v="Doug"/>
    <x v="2"/>
    <s v="NM"/>
  </r>
  <r>
    <s v="Aug"/>
    <n v="1137"/>
    <n v="9822"/>
    <s v="Pool Cover"/>
    <n v="58.3"/>
    <n v="98.4"/>
    <x v="0"/>
    <n v="9.8400000000000016"/>
    <s v="Juan"/>
    <x v="1"/>
    <s v="CA"/>
  </r>
  <r>
    <s v="Aug"/>
    <n v="1138"/>
    <n v="8722"/>
    <s v="Water Pump"/>
    <n v="344"/>
    <n v="502"/>
    <x v="3"/>
    <n v="100.4"/>
    <s v="Chalie"/>
    <x v="0"/>
    <s v="UT"/>
  </r>
  <r>
    <s v="Aug"/>
    <n v="1139"/>
    <n v="4421"/>
    <s v="Skimmer"/>
    <n v="45"/>
    <n v="87"/>
    <x v="5"/>
    <n v="8.7000000000000011"/>
    <s v="Doug"/>
    <x v="2"/>
    <s v="CA"/>
  </r>
  <r>
    <s v="Aug"/>
    <n v="1140"/>
    <n v="4421"/>
    <s v="Skimmer"/>
    <n v="45"/>
    <n v="87"/>
    <x v="5"/>
    <n v="8.7000000000000011"/>
    <s v="Juan"/>
    <x v="1"/>
    <s v="NV"/>
  </r>
  <r>
    <s v="Aug"/>
    <n v="1141"/>
    <n v="9212"/>
    <s v="1 Gal Muratic Acid"/>
    <n v="4"/>
    <n v="7"/>
    <x v="6"/>
    <n v="0.70000000000000007"/>
    <s v="Juan"/>
    <x v="1"/>
    <s v="AZ"/>
  </r>
  <r>
    <s v="Sept"/>
    <n v="1142"/>
    <n v="2242"/>
    <s v="AutoVac"/>
    <n v="60"/>
    <n v="124"/>
    <x v="7"/>
    <n v="24.8"/>
    <s v="Juan"/>
    <x v="1"/>
    <s v="NV"/>
  </r>
  <r>
    <s v="Sept"/>
    <n v="1143"/>
    <n v="9822"/>
    <s v="Pool Cover"/>
    <n v="58.3"/>
    <n v="98.4"/>
    <x v="0"/>
    <n v="9.8400000000000016"/>
    <s v="Hellen"/>
    <x v="3"/>
    <s v="AZ"/>
  </r>
  <r>
    <s v="Sept"/>
    <n v="1144"/>
    <n v="2242"/>
    <s v="AutoVac"/>
    <n v="60"/>
    <n v="124"/>
    <x v="7"/>
    <n v="24.8"/>
    <s v="Hellen"/>
    <x v="3"/>
    <s v="CA"/>
  </r>
  <r>
    <s v="Sept"/>
    <n v="1145"/>
    <n v="4421"/>
    <s v="Skimmer"/>
    <n v="45"/>
    <n v="87"/>
    <x v="5"/>
    <n v="8.7000000000000011"/>
    <s v="Hellen"/>
    <x v="3"/>
    <s v="NM"/>
  </r>
  <r>
    <s v="Sept"/>
    <n v="1146"/>
    <n v="8722"/>
    <s v="Water Pump"/>
    <n v="344"/>
    <n v="502"/>
    <x v="3"/>
    <n v="100.4"/>
    <s v="Hellen"/>
    <x v="3"/>
    <s v="NV"/>
  </r>
  <r>
    <s v="Sept"/>
    <n v="1147"/>
    <n v="9822"/>
    <s v="Pool Cover"/>
    <n v="58.3"/>
    <n v="98.4"/>
    <x v="0"/>
    <n v="9.8400000000000016"/>
    <s v="Chalie"/>
    <x v="0"/>
    <s v="CA"/>
  </r>
  <r>
    <s v="Sept"/>
    <n v="1148"/>
    <n v="9212"/>
    <s v="1 Gal Muratic Acid"/>
    <n v="4"/>
    <n v="7"/>
    <x v="6"/>
    <n v="0.70000000000000007"/>
    <s v="Doug"/>
    <x v="2"/>
    <s v="AZ"/>
  </r>
  <r>
    <s v="Sept"/>
    <n v="1149"/>
    <n v="8722"/>
    <s v="Water Pump"/>
    <n v="344"/>
    <n v="502"/>
    <x v="3"/>
    <n v="100.4"/>
    <s v="Chalie"/>
    <x v="0"/>
    <s v="AZ"/>
  </r>
  <r>
    <s v="Oct"/>
    <n v="1150"/>
    <n v="2242"/>
    <s v="AutoVac"/>
    <n v="60"/>
    <n v="124"/>
    <x v="7"/>
    <n v="24.8"/>
    <s v="Doug"/>
    <x v="2"/>
    <s v="UT"/>
  </r>
  <r>
    <s v="Oct"/>
    <n v="1151"/>
    <n v="2242"/>
    <s v="AutoVac"/>
    <n v="60"/>
    <n v="124"/>
    <x v="7"/>
    <n v="24.8"/>
    <s v="Juan"/>
    <x v="1"/>
    <s v="CA"/>
  </r>
  <r>
    <s v="Oct"/>
    <n v="1152"/>
    <n v="4421"/>
    <s v="Skimmer"/>
    <n v="45"/>
    <n v="87"/>
    <x v="5"/>
    <n v="8.7000000000000011"/>
    <s v="Chalie"/>
    <x v="0"/>
    <s v="NV"/>
  </r>
  <r>
    <s v="Oct"/>
    <n v="1153"/>
    <n v="8722"/>
    <s v="Water Pump"/>
    <n v="344"/>
    <n v="502"/>
    <x v="3"/>
    <n v="100.4"/>
    <s v="Doug"/>
    <x v="2"/>
    <s v="AZ"/>
  </r>
  <r>
    <s v="Oct"/>
    <n v="1154"/>
    <n v="9822"/>
    <s v="Pool Cover"/>
    <n v="58.3"/>
    <n v="98.4"/>
    <x v="0"/>
    <n v="9.8400000000000016"/>
    <s v="Juan"/>
    <x v="1"/>
    <s v="NV"/>
  </r>
  <r>
    <s v="Oct"/>
    <n v="1155"/>
    <n v="4421"/>
    <s v="Skimmer"/>
    <n v="45"/>
    <n v="87"/>
    <x v="5"/>
    <n v="8.7000000000000011"/>
    <s v="Doug"/>
    <x v="2"/>
    <s v="AZ"/>
  </r>
  <r>
    <s v="Oct"/>
    <n v="1156"/>
    <n v="2242"/>
    <s v="AutoVac"/>
    <n v="60"/>
    <n v="124"/>
    <x v="7"/>
    <n v="24.8"/>
    <s v="Doug"/>
    <x v="2"/>
    <s v="CA"/>
  </r>
  <r>
    <s v="Oct"/>
    <n v="1157"/>
    <n v="9212"/>
    <s v="1 Gal Muratic Acid"/>
    <n v="4"/>
    <n v="7"/>
    <x v="6"/>
    <n v="0.70000000000000007"/>
    <s v="Doug"/>
    <x v="2"/>
    <s v="NM"/>
  </r>
  <r>
    <s v="Nov"/>
    <n v="1158"/>
    <n v="8722"/>
    <s v="Water Pump"/>
    <n v="344"/>
    <n v="502"/>
    <x v="3"/>
    <n v="100.4"/>
    <s v="Chalie"/>
    <x v="0"/>
    <s v="NV"/>
  </r>
  <r>
    <s v="Nov"/>
    <n v="1159"/>
    <n v="6622"/>
    <s v="5 Gal Chlorine"/>
    <n v="42"/>
    <n v="77"/>
    <x v="8"/>
    <n v="7.7"/>
    <s v="Doug"/>
    <x v="2"/>
    <s v="CA"/>
  </r>
  <r>
    <s v="Nov"/>
    <n v="1160"/>
    <n v="9822"/>
    <s v="Pool Cover"/>
    <n v="58.3"/>
    <n v="98.4"/>
    <x v="0"/>
    <n v="9.8400000000000016"/>
    <s v="Hellen"/>
    <x v="3"/>
    <s v="NV"/>
  </r>
  <r>
    <s v="Nov"/>
    <n v="1161"/>
    <n v="4421"/>
    <s v="Skimmer"/>
    <n v="45"/>
    <n v="87"/>
    <x v="5"/>
    <n v="8.7000000000000011"/>
    <s v="Juan"/>
    <x v="1"/>
    <s v="CA"/>
  </r>
  <r>
    <s v="Nov"/>
    <n v="1162"/>
    <n v="9212"/>
    <s v="1 Gal Muratic Acid"/>
    <n v="4"/>
    <n v="7"/>
    <x v="6"/>
    <n v="0.70000000000000007"/>
    <s v="Chalie"/>
    <x v="0"/>
    <s v="AZ"/>
  </r>
  <r>
    <s v="Nov"/>
    <n v="1163"/>
    <n v="9212"/>
    <s v="1 Gal Muratic Acid"/>
    <n v="4"/>
    <n v="7"/>
    <x v="6"/>
    <n v="0.70000000000000007"/>
    <s v="Doug"/>
    <x v="2"/>
    <s v="CA"/>
  </r>
  <r>
    <s v="Nov"/>
    <n v="1164"/>
    <n v="9822"/>
    <s v="Pool Cover"/>
    <n v="58.3"/>
    <n v="98.4"/>
    <x v="0"/>
    <n v="9.8400000000000016"/>
    <s v="Doug"/>
    <x v="2"/>
    <s v="AZ"/>
  </r>
  <r>
    <s v="Nov"/>
    <n v="1165"/>
    <n v="9822"/>
    <s v="Pool Cover"/>
    <n v="58.3"/>
    <n v="98.4"/>
    <x v="0"/>
    <n v="9.8400000000000016"/>
    <s v="Doug"/>
    <x v="2"/>
    <s v="AZ"/>
  </r>
  <r>
    <s v="Nov"/>
    <n v="1166"/>
    <n v="8722"/>
    <s v="Water Pump"/>
    <n v="344"/>
    <n v="502"/>
    <x v="3"/>
    <n v="100.4"/>
    <s v="Doug"/>
    <x v="2"/>
    <s v="NV"/>
  </r>
  <r>
    <s v="Dec"/>
    <n v="1167"/>
    <n v="2242"/>
    <s v="AutoVac"/>
    <n v="60"/>
    <n v="124"/>
    <x v="7"/>
    <n v="24.8"/>
    <s v="Doug"/>
    <x v="2"/>
    <s v="NM"/>
  </r>
  <r>
    <s v="Dec"/>
    <n v="1168"/>
    <n v="9822"/>
    <s v="Pool Cover"/>
    <n v="58.3"/>
    <n v="98.4"/>
    <x v="0"/>
    <n v="9.8400000000000016"/>
    <s v="Doug"/>
    <x v="2"/>
    <s v="CA"/>
  </r>
  <r>
    <s v="Dec"/>
    <n v="1169"/>
    <n v="8722"/>
    <s v="Water Pump"/>
    <n v="344"/>
    <n v="502"/>
    <x v="3"/>
    <n v="100.4"/>
    <s v="Doug"/>
    <x v="2"/>
    <s v="UT"/>
  </r>
  <r>
    <s v="Dec"/>
    <n v="1170"/>
    <n v="4421"/>
    <s v="Skimmer"/>
    <n v="45"/>
    <n v="87"/>
    <x v="5"/>
    <n v="8.7000000000000011"/>
    <s v="Chalie"/>
    <x v="0"/>
    <s v="CA"/>
  </r>
  <r>
    <s v="Dec"/>
    <n v="1171"/>
    <n v="4421"/>
    <s v="Skimmer"/>
    <n v="45"/>
    <n v="87"/>
    <x v="5"/>
    <n v="8.7000000000000011"/>
    <s v="Juan"/>
    <x v="1"/>
    <s v="NV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4350E4-0214-FA4F-833D-058D5CF2E7DF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11">
    <pivotField showAll="0"/>
    <pivotField numFmtId="164" showAll="0"/>
    <pivotField showAll="0"/>
    <pivotField showAll="0"/>
    <pivotField showAll="0"/>
    <pivotField showAll="0"/>
    <pivotField dataField="1" numFmtId="166" showAll="0">
      <items count="10">
        <item x="2"/>
        <item x="6"/>
        <item x="1"/>
        <item x="4"/>
        <item x="8"/>
        <item x="0"/>
        <item x="5"/>
        <item x="7"/>
        <item x="3"/>
        <item t="default"/>
      </items>
    </pivotField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6" baseField="0" baseItem="0" numFmtId="166"/>
  </dataFields>
  <formats count="1">
    <format dxfId="0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B157E-3A48-124E-BDBF-2AD33A2792E5}">
  <dimension ref="A3:B8"/>
  <sheetViews>
    <sheetView tabSelected="1" workbookViewId="0">
      <selection activeCell="N26" sqref="N26"/>
    </sheetView>
  </sheetViews>
  <sheetFormatPr baseColWidth="10" defaultRowHeight="16" x14ac:dyDescent="0.2"/>
  <cols>
    <col min="1" max="1" width="13" bestFit="1" customWidth="1"/>
    <col min="2" max="3" width="12" bestFit="1" customWidth="1"/>
  </cols>
  <sheetData>
    <row r="3" spans="1:2" x14ac:dyDescent="0.2">
      <c r="A3" s="8" t="s">
        <v>51</v>
      </c>
      <c r="B3" t="s">
        <v>50</v>
      </c>
    </row>
    <row r="4" spans="1:2" x14ac:dyDescent="0.2">
      <c r="A4" s="9" t="s">
        <v>37</v>
      </c>
      <c r="B4" s="6">
        <v>2015.1</v>
      </c>
    </row>
    <row r="5" spans="1:2" x14ac:dyDescent="0.2">
      <c r="A5" s="9" t="s">
        <v>39</v>
      </c>
      <c r="B5" s="6">
        <v>1021.6</v>
      </c>
    </row>
    <row r="6" spans="1:2" x14ac:dyDescent="0.2">
      <c r="A6" s="9" t="s">
        <v>43</v>
      </c>
      <c r="B6" s="6">
        <v>1084.0999999999999</v>
      </c>
    </row>
    <row r="7" spans="1:2" x14ac:dyDescent="0.2">
      <c r="A7" s="9" t="s">
        <v>41</v>
      </c>
      <c r="B7" s="6">
        <v>2235.8999999999996</v>
      </c>
    </row>
    <row r="8" spans="1:2" x14ac:dyDescent="0.2">
      <c r="A8" s="9" t="s">
        <v>52</v>
      </c>
      <c r="B8" s="6">
        <v>6356.6999999999989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6"/>
  <sheetViews>
    <sheetView workbookViewId="0">
      <selection sqref="A1:K172"/>
    </sheetView>
  </sheetViews>
  <sheetFormatPr baseColWidth="10" defaultColWidth="11" defaultRowHeight="16" x14ac:dyDescent="0.2"/>
  <cols>
    <col min="4" max="4" width="18.33203125" customWidth="1"/>
    <col min="8" max="8" width="13.83203125" customWidth="1"/>
  </cols>
  <sheetData>
    <row r="1" spans="1:11" ht="68" x14ac:dyDescent="0.2">
      <c r="A1" s="3" t="s">
        <v>22</v>
      </c>
      <c r="B1" s="3" t="s">
        <v>35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46</v>
      </c>
      <c r="I1" s="4" t="s">
        <v>44</v>
      </c>
      <c r="J1" s="4" t="s">
        <v>45</v>
      </c>
      <c r="K1" s="3" t="s">
        <v>15</v>
      </c>
    </row>
    <row r="2" spans="1:11" x14ac:dyDescent="0.2">
      <c r="A2" s="1" t="s">
        <v>23</v>
      </c>
      <c r="B2" s="2">
        <v>1001</v>
      </c>
      <c r="C2">
        <v>9822</v>
      </c>
      <c r="D2" t="s">
        <v>5</v>
      </c>
      <c r="E2">
        <v>58.3</v>
      </c>
      <c r="F2">
        <v>98.4</v>
      </c>
      <c r="G2" s="6">
        <f>F2-E2</f>
        <v>40.100000000000009</v>
      </c>
      <c r="H2">
        <f>IF(G2&lt;=50,F2*0.1, F2*0.2)</f>
        <v>9.8400000000000016</v>
      </c>
      <c r="I2" s="5" t="s">
        <v>36</v>
      </c>
      <c r="J2" s="5" t="s">
        <v>37</v>
      </c>
      <c r="K2" t="s">
        <v>19</v>
      </c>
    </row>
    <row r="3" spans="1:11" x14ac:dyDescent="0.2">
      <c r="A3" s="1" t="s">
        <v>23</v>
      </c>
      <c r="B3" s="2">
        <v>1002</v>
      </c>
      <c r="C3">
        <v>2877</v>
      </c>
      <c r="D3" t="s">
        <v>11</v>
      </c>
      <c r="E3">
        <v>11.4</v>
      </c>
      <c r="F3">
        <v>16.3</v>
      </c>
      <c r="G3" s="6">
        <f>F3-E3</f>
        <v>4.9000000000000004</v>
      </c>
      <c r="H3">
        <f>IF(G3&lt;=50,F3*0.1, F3*0.2)</f>
        <v>1.6300000000000001</v>
      </c>
      <c r="I3" s="5" t="s">
        <v>38</v>
      </c>
      <c r="J3" s="5" t="s">
        <v>39</v>
      </c>
      <c r="K3" t="s">
        <v>18</v>
      </c>
    </row>
    <row r="4" spans="1:11" x14ac:dyDescent="0.2">
      <c r="A4" s="1" t="s">
        <v>23</v>
      </c>
      <c r="B4" s="2">
        <v>1003</v>
      </c>
      <c r="C4">
        <v>2499</v>
      </c>
      <c r="D4" t="s">
        <v>12</v>
      </c>
      <c r="E4">
        <v>6.2</v>
      </c>
      <c r="F4">
        <v>9.1999999999999993</v>
      </c>
      <c r="G4" s="6">
        <f>F4-E4</f>
        <v>2.9999999999999991</v>
      </c>
      <c r="H4">
        <f>IF(G4&lt;=50,F4*0.1, F4*0.2)</f>
        <v>0.91999999999999993</v>
      </c>
      <c r="I4" s="5" t="s">
        <v>40</v>
      </c>
      <c r="J4" s="5" t="s">
        <v>41</v>
      </c>
      <c r="K4" t="s">
        <v>16</v>
      </c>
    </row>
    <row r="5" spans="1:11" x14ac:dyDescent="0.2">
      <c r="A5" s="1" t="s">
        <v>23</v>
      </c>
      <c r="B5" s="2">
        <v>1004</v>
      </c>
      <c r="C5">
        <v>8722</v>
      </c>
      <c r="D5" t="s">
        <v>6</v>
      </c>
      <c r="E5">
        <v>344</v>
      </c>
      <c r="F5">
        <v>502</v>
      </c>
      <c r="G5" s="6">
        <f>F5-E5</f>
        <v>158</v>
      </c>
      <c r="H5">
        <f>IF(G5&lt;=50,F5*0.1, F5*0.2)</f>
        <v>100.4</v>
      </c>
      <c r="I5" s="5" t="s">
        <v>36</v>
      </c>
      <c r="J5" s="5" t="s">
        <v>37</v>
      </c>
      <c r="K5" t="s">
        <v>16</v>
      </c>
    </row>
    <row r="6" spans="1:11" x14ac:dyDescent="0.2">
      <c r="A6" s="1" t="s">
        <v>23</v>
      </c>
      <c r="B6" s="2">
        <v>1005</v>
      </c>
      <c r="C6">
        <v>1109</v>
      </c>
      <c r="D6" t="s">
        <v>14</v>
      </c>
      <c r="E6">
        <v>3</v>
      </c>
      <c r="F6">
        <v>8</v>
      </c>
      <c r="G6" s="6">
        <f>F6-E6</f>
        <v>5</v>
      </c>
      <c r="H6">
        <f>IF(G6&lt;=50,F6*0.1, F6*0.2)</f>
        <v>0.8</v>
      </c>
      <c r="I6" s="5" t="s">
        <v>40</v>
      </c>
      <c r="J6" s="5" t="s">
        <v>41</v>
      </c>
      <c r="K6" t="s">
        <v>16</v>
      </c>
    </row>
    <row r="7" spans="1:11" x14ac:dyDescent="0.2">
      <c r="A7" s="1" t="s">
        <v>23</v>
      </c>
      <c r="B7" s="2">
        <v>1006</v>
      </c>
      <c r="C7">
        <v>9822</v>
      </c>
      <c r="D7" t="s">
        <v>5</v>
      </c>
      <c r="E7">
        <v>58.3</v>
      </c>
      <c r="F7">
        <v>98.4</v>
      </c>
      <c r="G7" s="6">
        <f>F7-E7</f>
        <v>40.100000000000009</v>
      </c>
      <c r="H7">
        <f>IF(G7&lt;=50,F7*0.1, F7*0.2)</f>
        <v>9.8400000000000016</v>
      </c>
      <c r="I7" s="5" t="s">
        <v>40</v>
      </c>
      <c r="J7" s="5" t="s">
        <v>41</v>
      </c>
      <c r="K7" t="s">
        <v>16</v>
      </c>
    </row>
    <row r="8" spans="1:11" x14ac:dyDescent="0.2">
      <c r="A8" s="1" t="s">
        <v>23</v>
      </c>
      <c r="B8" s="2">
        <v>1007</v>
      </c>
      <c r="C8">
        <v>1109</v>
      </c>
      <c r="D8" t="s">
        <v>14</v>
      </c>
      <c r="E8">
        <v>3</v>
      </c>
      <c r="F8">
        <v>8</v>
      </c>
      <c r="G8" s="6">
        <f>F8-E8</f>
        <v>5</v>
      </c>
      <c r="H8">
        <f>IF(G8&lt;=50,F8*0.1, F8*0.2)</f>
        <v>0.8</v>
      </c>
      <c r="I8" s="5" t="s">
        <v>42</v>
      </c>
      <c r="J8" s="5" t="s">
        <v>43</v>
      </c>
      <c r="K8" t="s">
        <v>19</v>
      </c>
    </row>
    <row r="9" spans="1:11" x14ac:dyDescent="0.2">
      <c r="A9" s="1" t="s">
        <v>23</v>
      </c>
      <c r="B9" s="2">
        <v>1008</v>
      </c>
      <c r="C9">
        <v>2877</v>
      </c>
      <c r="D9" t="s">
        <v>11</v>
      </c>
      <c r="E9">
        <v>11.4</v>
      </c>
      <c r="F9">
        <v>16.3</v>
      </c>
      <c r="G9" s="6">
        <f>F9-E9</f>
        <v>4.9000000000000004</v>
      </c>
      <c r="H9">
        <f>IF(G9&lt;=50,F9*0.1, F9*0.2)</f>
        <v>1.6300000000000001</v>
      </c>
      <c r="I9" s="5" t="s">
        <v>40</v>
      </c>
      <c r="J9" s="5" t="s">
        <v>41</v>
      </c>
      <c r="K9" t="s">
        <v>19</v>
      </c>
    </row>
    <row r="10" spans="1:11" x14ac:dyDescent="0.2">
      <c r="A10" s="1" t="s">
        <v>23</v>
      </c>
      <c r="B10" s="2">
        <v>1009</v>
      </c>
      <c r="C10">
        <v>1109</v>
      </c>
      <c r="D10" t="s">
        <v>14</v>
      </c>
      <c r="E10">
        <v>3</v>
      </c>
      <c r="F10">
        <v>8</v>
      </c>
      <c r="G10" s="6">
        <f>F10-E10</f>
        <v>5</v>
      </c>
      <c r="H10">
        <f>IF(G10&lt;=50,F10*0.1, F10*0.2)</f>
        <v>0.8</v>
      </c>
      <c r="I10" s="5" t="s">
        <v>40</v>
      </c>
      <c r="J10" s="5" t="s">
        <v>41</v>
      </c>
      <c r="K10" t="s">
        <v>16</v>
      </c>
    </row>
    <row r="11" spans="1:11" x14ac:dyDescent="0.2">
      <c r="A11" s="1" t="s">
        <v>23</v>
      </c>
      <c r="B11" s="2">
        <v>1010</v>
      </c>
      <c r="C11">
        <v>2877</v>
      </c>
      <c r="D11" t="s">
        <v>11</v>
      </c>
      <c r="E11">
        <v>11.4</v>
      </c>
      <c r="F11">
        <v>16.3</v>
      </c>
      <c r="G11" s="6">
        <f>F11-E11</f>
        <v>4.9000000000000004</v>
      </c>
      <c r="H11">
        <f>IF(G11&lt;=50,F11*0.1, F11*0.2)</f>
        <v>1.6300000000000001</v>
      </c>
      <c r="I11" s="5" t="s">
        <v>38</v>
      </c>
      <c r="J11" s="5" t="s">
        <v>39</v>
      </c>
      <c r="K11" t="s">
        <v>20</v>
      </c>
    </row>
    <row r="12" spans="1:11" x14ac:dyDescent="0.2">
      <c r="A12" s="1" t="s">
        <v>23</v>
      </c>
      <c r="B12" s="2">
        <v>1011</v>
      </c>
      <c r="C12">
        <v>2877</v>
      </c>
      <c r="D12" t="s">
        <v>11</v>
      </c>
      <c r="E12">
        <v>11.4</v>
      </c>
      <c r="F12">
        <v>16.3</v>
      </c>
      <c r="G12" s="6">
        <f>F12-E12</f>
        <v>4.9000000000000004</v>
      </c>
      <c r="H12">
        <f>IF(G12&lt;=50,F12*0.1, F12*0.2)</f>
        <v>1.6300000000000001</v>
      </c>
      <c r="I12" s="5" t="s">
        <v>38</v>
      </c>
      <c r="J12" s="5" t="s">
        <v>39</v>
      </c>
      <c r="K12" t="s">
        <v>16</v>
      </c>
    </row>
    <row r="13" spans="1:11" x14ac:dyDescent="0.2">
      <c r="A13" s="1" t="s">
        <v>23</v>
      </c>
      <c r="B13" s="2">
        <v>1012</v>
      </c>
      <c r="C13">
        <v>4421</v>
      </c>
      <c r="D13" t="s">
        <v>9</v>
      </c>
      <c r="E13">
        <v>45</v>
      </c>
      <c r="F13">
        <v>87</v>
      </c>
      <c r="G13" s="6">
        <f>F13-E13</f>
        <v>42</v>
      </c>
      <c r="H13">
        <f>IF(G13&lt;=50,F13*0.1, F13*0.2)</f>
        <v>8.7000000000000011</v>
      </c>
      <c r="I13" s="5" t="s">
        <v>40</v>
      </c>
      <c r="J13" s="5" t="s">
        <v>41</v>
      </c>
      <c r="K13" t="s">
        <v>19</v>
      </c>
    </row>
    <row r="14" spans="1:11" x14ac:dyDescent="0.2">
      <c r="A14" s="1" t="s">
        <v>23</v>
      </c>
      <c r="B14" s="2">
        <v>1013</v>
      </c>
      <c r="C14">
        <v>9212</v>
      </c>
      <c r="D14" t="s">
        <v>10</v>
      </c>
      <c r="E14">
        <v>4</v>
      </c>
      <c r="F14">
        <v>7</v>
      </c>
      <c r="G14" s="6">
        <f>F14-E14</f>
        <v>3</v>
      </c>
      <c r="H14">
        <f>IF(G14&lt;=50,F14*0.1, F14*0.2)</f>
        <v>0.70000000000000007</v>
      </c>
      <c r="I14" s="5" t="s">
        <v>42</v>
      </c>
      <c r="J14" s="5" t="s">
        <v>43</v>
      </c>
      <c r="K14" t="s">
        <v>20</v>
      </c>
    </row>
    <row r="15" spans="1:11" x14ac:dyDescent="0.2">
      <c r="A15" s="1" t="s">
        <v>23</v>
      </c>
      <c r="B15" s="2">
        <v>1014</v>
      </c>
      <c r="C15">
        <v>8722</v>
      </c>
      <c r="D15" t="s">
        <v>6</v>
      </c>
      <c r="E15">
        <v>344</v>
      </c>
      <c r="F15">
        <v>502</v>
      </c>
      <c r="G15" s="6">
        <f>F15-E15</f>
        <v>158</v>
      </c>
      <c r="H15">
        <f>IF(G15&lt;=50,F15*0.1, F15*0.2)</f>
        <v>100.4</v>
      </c>
      <c r="I15" s="5" t="s">
        <v>36</v>
      </c>
      <c r="J15" s="5" t="s">
        <v>37</v>
      </c>
      <c r="K15" t="s">
        <v>18</v>
      </c>
    </row>
    <row r="16" spans="1:11" x14ac:dyDescent="0.2">
      <c r="A16" s="1" t="s">
        <v>23</v>
      </c>
      <c r="B16" s="2">
        <v>1015</v>
      </c>
      <c r="C16">
        <v>2877</v>
      </c>
      <c r="D16" t="s">
        <v>11</v>
      </c>
      <c r="E16">
        <v>11.4</v>
      </c>
      <c r="F16">
        <v>16.3</v>
      </c>
      <c r="G16" s="6">
        <f>F16-E16</f>
        <v>4.9000000000000004</v>
      </c>
      <c r="H16">
        <f>IF(G16&lt;=50,F16*0.1, F16*0.2)</f>
        <v>1.6300000000000001</v>
      </c>
      <c r="I16" s="5" t="s">
        <v>42</v>
      </c>
      <c r="J16" s="5" t="s">
        <v>43</v>
      </c>
      <c r="K16" t="s">
        <v>16</v>
      </c>
    </row>
    <row r="17" spans="1:11" x14ac:dyDescent="0.2">
      <c r="A17" s="1" t="s">
        <v>23</v>
      </c>
      <c r="B17" s="2">
        <v>1016</v>
      </c>
      <c r="C17">
        <v>2499</v>
      </c>
      <c r="D17" t="s">
        <v>12</v>
      </c>
      <c r="E17">
        <v>6.2</v>
      </c>
      <c r="F17">
        <v>9.1999999999999993</v>
      </c>
      <c r="G17" s="6">
        <f>F17-E17</f>
        <v>2.9999999999999991</v>
      </c>
      <c r="H17">
        <f>IF(G17&lt;=50,F17*0.1, F17*0.2)</f>
        <v>0.91999999999999993</v>
      </c>
      <c r="I17" s="5" t="s">
        <v>40</v>
      </c>
      <c r="J17" s="5" t="s">
        <v>41</v>
      </c>
      <c r="K17" t="s">
        <v>18</v>
      </c>
    </row>
    <row r="18" spans="1:11" x14ac:dyDescent="0.2">
      <c r="A18" s="1" t="s">
        <v>24</v>
      </c>
      <c r="B18" s="2">
        <v>1017</v>
      </c>
      <c r="C18">
        <v>2242</v>
      </c>
      <c r="D18" t="s">
        <v>8</v>
      </c>
      <c r="E18">
        <v>60</v>
      </c>
      <c r="F18">
        <v>124</v>
      </c>
      <c r="G18" s="6">
        <f>F18-E18</f>
        <v>64</v>
      </c>
      <c r="H18">
        <f>IF(G18&lt;=50,F18*0.1, F18*0.2)</f>
        <v>24.8</v>
      </c>
      <c r="I18" s="5" t="s">
        <v>38</v>
      </c>
      <c r="J18" s="5" t="s">
        <v>39</v>
      </c>
      <c r="K18" t="s">
        <v>19</v>
      </c>
    </row>
    <row r="19" spans="1:11" x14ac:dyDescent="0.2">
      <c r="A19" s="1" t="s">
        <v>24</v>
      </c>
      <c r="B19" s="2">
        <v>1018</v>
      </c>
      <c r="C19">
        <v>1109</v>
      </c>
      <c r="D19" t="s">
        <v>14</v>
      </c>
      <c r="E19">
        <v>3</v>
      </c>
      <c r="F19">
        <v>8</v>
      </c>
      <c r="G19" s="6">
        <f>F19-E19</f>
        <v>5</v>
      </c>
      <c r="H19">
        <f>IF(G19&lt;=50,F19*0.1, F19*0.2)</f>
        <v>0.8</v>
      </c>
      <c r="I19" s="5" t="s">
        <v>40</v>
      </c>
      <c r="J19" s="5" t="s">
        <v>41</v>
      </c>
      <c r="K19" t="s">
        <v>18</v>
      </c>
    </row>
    <row r="20" spans="1:11" x14ac:dyDescent="0.2">
      <c r="A20" s="1" t="s">
        <v>24</v>
      </c>
      <c r="B20" s="2">
        <v>1019</v>
      </c>
      <c r="C20">
        <v>2499</v>
      </c>
      <c r="D20" t="s">
        <v>12</v>
      </c>
      <c r="E20">
        <v>6.2</v>
      </c>
      <c r="F20">
        <v>9.1999999999999993</v>
      </c>
      <c r="G20" s="6">
        <f>F20-E20</f>
        <v>2.9999999999999991</v>
      </c>
      <c r="H20">
        <f>IF(G20&lt;=50,F20*0.1, F20*0.2)</f>
        <v>0.91999999999999993</v>
      </c>
      <c r="I20" s="5" t="s">
        <v>40</v>
      </c>
      <c r="J20" s="5" t="s">
        <v>41</v>
      </c>
      <c r="K20" t="s">
        <v>20</v>
      </c>
    </row>
    <row r="21" spans="1:11" x14ac:dyDescent="0.2">
      <c r="A21" s="1" t="s">
        <v>24</v>
      </c>
      <c r="B21" s="2">
        <v>1020</v>
      </c>
      <c r="C21">
        <v>2499</v>
      </c>
      <c r="D21" t="s">
        <v>12</v>
      </c>
      <c r="E21">
        <v>6.2</v>
      </c>
      <c r="F21">
        <v>9.1999999999999993</v>
      </c>
      <c r="G21" s="6">
        <f>F21-E21</f>
        <v>2.9999999999999991</v>
      </c>
      <c r="H21">
        <f>IF(G21&lt;=50,F21*0.1, F21*0.2)</f>
        <v>0.91999999999999993</v>
      </c>
      <c r="I21" s="5" t="s">
        <v>40</v>
      </c>
      <c r="J21" s="5" t="s">
        <v>41</v>
      </c>
      <c r="K21" t="s">
        <v>17</v>
      </c>
    </row>
    <row r="22" spans="1:11" x14ac:dyDescent="0.2">
      <c r="A22" s="1" t="s">
        <v>24</v>
      </c>
      <c r="B22" s="2">
        <v>1021</v>
      </c>
      <c r="C22">
        <v>1109</v>
      </c>
      <c r="D22" t="s">
        <v>14</v>
      </c>
      <c r="E22">
        <v>3</v>
      </c>
      <c r="F22">
        <v>8</v>
      </c>
      <c r="G22" s="6">
        <f>F22-E22</f>
        <v>5</v>
      </c>
      <c r="H22">
        <f>IF(G22&lt;=50,F22*0.1, F22*0.2)</f>
        <v>0.8</v>
      </c>
      <c r="I22" s="5" t="s">
        <v>38</v>
      </c>
      <c r="J22" s="5" t="s">
        <v>39</v>
      </c>
      <c r="K22" t="s">
        <v>20</v>
      </c>
    </row>
    <row r="23" spans="1:11" x14ac:dyDescent="0.2">
      <c r="A23" s="1" t="s">
        <v>24</v>
      </c>
      <c r="B23" s="2">
        <v>1022</v>
      </c>
      <c r="C23">
        <v>2877</v>
      </c>
      <c r="D23" t="s">
        <v>11</v>
      </c>
      <c r="E23">
        <v>11.4</v>
      </c>
      <c r="F23">
        <v>16.3</v>
      </c>
      <c r="G23" s="6">
        <f>F23-E23</f>
        <v>4.9000000000000004</v>
      </c>
      <c r="H23">
        <f>IF(G23&lt;=50,F23*0.1, F23*0.2)</f>
        <v>1.6300000000000001</v>
      </c>
      <c r="I23" s="5" t="s">
        <v>40</v>
      </c>
      <c r="J23" s="5" t="s">
        <v>41</v>
      </c>
      <c r="K23" t="s">
        <v>21</v>
      </c>
    </row>
    <row r="24" spans="1:11" x14ac:dyDescent="0.2">
      <c r="A24" s="1" t="s">
        <v>24</v>
      </c>
      <c r="B24" s="2">
        <v>1023</v>
      </c>
      <c r="C24">
        <v>1109</v>
      </c>
      <c r="D24" t="s">
        <v>14</v>
      </c>
      <c r="E24">
        <v>3</v>
      </c>
      <c r="F24">
        <v>8</v>
      </c>
      <c r="G24" s="6">
        <f>F24-E24</f>
        <v>5</v>
      </c>
      <c r="H24">
        <f>IF(G24&lt;=50,F24*0.1, F24*0.2)</f>
        <v>0.8</v>
      </c>
      <c r="I24" s="5" t="s">
        <v>42</v>
      </c>
      <c r="J24" s="5" t="s">
        <v>43</v>
      </c>
      <c r="K24" t="s">
        <v>19</v>
      </c>
    </row>
    <row r="25" spans="1:11" x14ac:dyDescent="0.2">
      <c r="A25" s="1" t="s">
        <v>24</v>
      </c>
      <c r="B25" s="2">
        <v>1024</v>
      </c>
      <c r="C25">
        <v>9212</v>
      </c>
      <c r="D25" t="s">
        <v>10</v>
      </c>
      <c r="E25">
        <v>4</v>
      </c>
      <c r="F25">
        <v>7</v>
      </c>
      <c r="G25" s="6">
        <f>F25-E25</f>
        <v>3</v>
      </c>
      <c r="H25">
        <f>IF(G25&lt;=50,F25*0.1, F25*0.2)</f>
        <v>0.70000000000000007</v>
      </c>
      <c r="I25" s="5" t="s">
        <v>38</v>
      </c>
      <c r="J25" s="5" t="s">
        <v>39</v>
      </c>
      <c r="K25" t="s">
        <v>21</v>
      </c>
    </row>
    <row r="26" spans="1:11" x14ac:dyDescent="0.2">
      <c r="A26" s="1" t="s">
        <v>24</v>
      </c>
      <c r="B26" s="2">
        <v>1025</v>
      </c>
      <c r="C26">
        <v>2877</v>
      </c>
      <c r="D26" t="s">
        <v>11</v>
      </c>
      <c r="E26">
        <v>11.4</v>
      </c>
      <c r="F26">
        <v>16.3</v>
      </c>
      <c r="G26" s="6">
        <f>F26-E26</f>
        <v>4.9000000000000004</v>
      </c>
      <c r="H26">
        <f>IF(G26&lt;=50,F26*0.1, F26*0.2)</f>
        <v>1.6300000000000001</v>
      </c>
      <c r="I26" s="5" t="s">
        <v>42</v>
      </c>
      <c r="J26" s="5" t="s">
        <v>43</v>
      </c>
      <c r="K26" t="s">
        <v>17</v>
      </c>
    </row>
    <row r="27" spans="1:11" x14ac:dyDescent="0.2">
      <c r="A27" s="1" t="s">
        <v>24</v>
      </c>
      <c r="B27" s="2">
        <v>1026</v>
      </c>
      <c r="C27">
        <v>6119</v>
      </c>
      <c r="D27" t="s">
        <v>13</v>
      </c>
      <c r="E27">
        <v>9</v>
      </c>
      <c r="F27">
        <v>14</v>
      </c>
      <c r="G27" s="6">
        <f>F27-E27</f>
        <v>5</v>
      </c>
      <c r="H27">
        <f>IF(G27&lt;=50,F27*0.1, F27*0.2)</f>
        <v>1.4000000000000001</v>
      </c>
      <c r="I27" s="5" t="s">
        <v>42</v>
      </c>
      <c r="J27" s="5" t="s">
        <v>43</v>
      </c>
      <c r="K27" t="s">
        <v>19</v>
      </c>
    </row>
    <row r="28" spans="1:11" x14ac:dyDescent="0.2">
      <c r="A28" s="1" t="s">
        <v>24</v>
      </c>
      <c r="B28" s="2">
        <v>1027</v>
      </c>
      <c r="C28">
        <v>6119</v>
      </c>
      <c r="D28" t="s">
        <v>13</v>
      </c>
      <c r="E28">
        <v>9</v>
      </c>
      <c r="F28">
        <v>14</v>
      </c>
      <c r="G28" s="6">
        <f>F28-E28</f>
        <v>5</v>
      </c>
      <c r="H28">
        <f>IF(G28&lt;=50,F28*0.1, F28*0.2)</f>
        <v>1.4000000000000001</v>
      </c>
      <c r="I28" s="5" t="s">
        <v>36</v>
      </c>
      <c r="J28" s="5" t="s">
        <v>37</v>
      </c>
      <c r="K28" t="s">
        <v>17</v>
      </c>
    </row>
    <row r="29" spans="1:11" x14ac:dyDescent="0.2">
      <c r="A29" s="1" t="s">
        <v>24</v>
      </c>
      <c r="B29" s="2">
        <v>1028</v>
      </c>
      <c r="C29">
        <v>8722</v>
      </c>
      <c r="D29" t="s">
        <v>6</v>
      </c>
      <c r="E29">
        <v>344</v>
      </c>
      <c r="F29">
        <v>502</v>
      </c>
      <c r="G29" s="6">
        <f>F29-E29</f>
        <v>158</v>
      </c>
      <c r="H29">
        <f>IF(G29&lt;=50,F29*0.1, F29*0.2)</f>
        <v>100.4</v>
      </c>
      <c r="I29" s="5" t="s">
        <v>36</v>
      </c>
      <c r="J29" s="5" t="s">
        <v>37</v>
      </c>
      <c r="K29" t="s">
        <v>16</v>
      </c>
    </row>
    <row r="30" spans="1:11" x14ac:dyDescent="0.2">
      <c r="A30" s="1" t="s">
        <v>24</v>
      </c>
      <c r="B30" s="2">
        <v>1029</v>
      </c>
      <c r="C30">
        <v>2499</v>
      </c>
      <c r="D30" t="s">
        <v>12</v>
      </c>
      <c r="E30">
        <v>6.2</v>
      </c>
      <c r="F30">
        <v>9.1999999999999993</v>
      </c>
      <c r="G30" s="6">
        <f>F30-E30</f>
        <v>2.9999999999999991</v>
      </c>
      <c r="H30">
        <f>IF(G30&lt;=50,F30*0.1, F30*0.2)</f>
        <v>0.91999999999999993</v>
      </c>
      <c r="I30" s="5" t="s">
        <v>38</v>
      </c>
      <c r="J30" s="5" t="s">
        <v>39</v>
      </c>
      <c r="K30" t="s">
        <v>16</v>
      </c>
    </row>
    <row r="31" spans="1:11" x14ac:dyDescent="0.2">
      <c r="A31" s="1" t="s">
        <v>24</v>
      </c>
      <c r="B31" s="2">
        <v>1030</v>
      </c>
      <c r="C31">
        <v>4421</v>
      </c>
      <c r="D31" t="s">
        <v>9</v>
      </c>
      <c r="E31">
        <v>45</v>
      </c>
      <c r="F31">
        <v>87</v>
      </c>
      <c r="G31" s="6">
        <f>F31-E31</f>
        <v>42</v>
      </c>
      <c r="H31">
        <f>IF(G31&lt;=50,F31*0.1, F31*0.2)</f>
        <v>8.7000000000000011</v>
      </c>
      <c r="I31" s="5" t="s">
        <v>38</v>
      </c>
      <c r="J31" s="5" t="s">
        <v>39</v>
      </c>
      <c r="K31" t="s">
        <v>17</v>
      </c>
    </row>
    <row r="32" spans="1:11" x14ac:dyDescent="0.2">
      <c r="A32" s="1" t="s">
        <v>24</v>
      </c>
      <c r="B32" s="2">
        <v>1031</v>
      </c>
      <c r="C32">
        <v>1109</v>
      </c>
      <c r="D32" t="s">
        <v>14</v>
      </c>
      <c r="E32">
        <v>3</v>
      </c>
      <c r="F32">
        <v>8</v>
      </c>
      <c r="G32" s="6">
        <f>F32-E32</f>
        <v>5</v>
      </c>
      <c r="H32">
        <f>IF(G32&lt;=50,F32*0.1, F32*0.2)</f>
        <v>0.8</v>
      </c>
      <c r="I32" s="5" t="s">
        <v>38</v>
      </c>
      <c r="J32" s="5" t="s">
        <v>39</v>
      </c>
      <c r="K32" t="s">
        <v>18</v>
      </c>
    </row>
    <row r="33" spans="1:11" x14ac:dyDescent="0.2">
      <c r="A33" s="1" t="s">
        <v>24</v>
      </c>
      <c r="B33" s="2">
        <v>1032</v>
      </c>
      <c r="C33">
        <v>2877</v>
      </c>
      <c r="D33" t="s">
        <v>11</v>
      </c>
      <c r="E33">
        <v>11.4</v>
      </c>
      <c r="F33">
        <v>16.3</v>
      </c>
      <c r="G33" s="6">
        <f>F33-E33</f>
        <v>4.9000000000000004</v>
      </c>
      <c r="H33">
        <f>IF(G33&lt;=50,F33*0.1, F33*0.2)</f>
        <v>1.6300000000000001</v>
      </c>
      <c r="I33" s="5" t="s">
        <v>36</v>
      </c>
      <c r="J33" s="5" t="s">
        <v>37</v>
      </c>
      <c r="K33" t="s">
        <v>16</v>
      </c>
    </row>
    <row r="34" spans="1:11" x14ac:dyDescent="0.2">
      <c r="A34" s="1" t="s">
        <v>24</v>
      </c>
      <c r="B34" s="2">
        <v>1033</v>
      </c>
      <c r="C34">
        <v>9822</v>
      </c>
      <c r="D34" t="s">
        <v>5</v>
      </c>
      <c r="E34">
        <v>58.3</v>
      </c>
      <c r="F34">
        <v>98.4</v>
      </c>
      <c r="G34" s="6">
        <f>F34-E34</f>
        <v>40.100000000000009</v>
      </c>
      <c r="H34">
        <f>IF(G34&lt;=50,F34*0.1, F34*0.2)</f>
        <v>9.8400000000000016</v>
      </c>
      <c r="I34" s="5" t="s">
        <v>38</v>
      </c>
      <c r="J34" s="5" t="s">
        <v>39</v>
      </c>
      <c r="K34" t="s">
        <v>18</v>
      </c>
    </row>
    <row r="35" spans="1:11" x14ac:dyDescent="0.2">
      <c r="A35" s="1" t="s">
        <v>24</v>
      </c>
      <c r="B35" s="2">
        <v>1034</v>
      </c>
      <c r="C35">
        <v>2877</v>
      </c>
      <c r="D35" t="s">
        <v>11</v>
      </c>
      <c r="E35">
        <v>11.4</v>
      </c>
      <c r="F35">
        <v>16.3</v>
      </c>
      <c r="G35" s="6">
        <f>F35-E35</f>
        <v>4.9000000000000004</v>
      </c>
      <c r="H35">
        <f>IF(G35&lt;=50,F35*0.1, F35*0.2)</f>
        <v>1.6300000000000001</v>
      </c>
      <c r="I35" s="5" t="s">
        <v>38</v>
      </c>
      <c r="J35" s="5" t="s">
        <v>39</v>
      </c>
      <c r="K35" t="s">
        <v>20</v>
      </c>
    </row>
    <row r="36" spans="1:11" x14ac:dyDescent="0.2">
      <c r="A36" s="1" t="s">
        <v>25</v>
      </c>
      <c r="B36" s="2">
        <v>1035</v>
      </c>
      <c r="C36">
        <v>2499</v>
      </c>
      <c r="D36" t="s">
        <v>12</v>
      </c>
      <c r="E36">
        <v>6.2</v>
      </c>
      <c r="F36">
        <v>9.1999999999999993</v>
      </c>
      <c r="G36" s="6">
        <f>F36-E36</f>
        <v>2.9999999999999991</v>
      </c>
      <c r="H36">
        <f>IF(G36&lt;=50,F36*0.1, F36*0.2)</f>
        <v>0.91999999999999993</v>
      </c>
      <c r="I36" s="5" t="s">
        <v>42</v>
      </c>
      <c r="J36" s="5" t="s">
        <v>43</v>
      </c>
      <c r="K36" t="s">
        <v>18</v>
      </c>
    </row>
    <row r="37" spans="1:11" x14ac:dyDescent="0.2">
      <c r="A37" s="1" t="s">
        <v>25</v>
      </c>
      <c r="B37" s="2">
        <v>1036</v>
      </c>
      <c r="C37">
        <v>2499</v>
      </c>
      <c r="D37" t="s">
        <v>12</v>
      </c>
      <c r="E37">
        <v>6.2</v>
      </c>
      <c r="F37">
        <v>9.1999999999999993</v>
      </c>
      <c r="G37" s="6">
        <f>F37-E37</f>
        <v>2.9999999999999991</v>
      </c>
      <c r="H37">
        <f>IF(G37&lt;=50,F37*0.1, F37*0.2)</f>
        <v>0.91999999999999993</v>
      </c>
      <c r="I37" s="5" t="s">
        <v>38</v>
      </c>
      <c r="J37" s="5" t="s">
        <v>39</v>
      </c>
      <c r="K37" t="s">
        <v>17</v>
      </c>
    </row>
    <row r="38" spans="1:11" x14ac:dyDescent="0.2">
      <c r="A38" s="1" t="s">
        <v>25</v>
      </c>
      <c r="B38" s="2">
        <v>1037</v>
      </c>
      <c r="C38">
        <v>6622</v>
      </c>
      <c r="D38" t="s">
        <v>7</v>
      </c>
      <c r="E38">
        <v>42</v>
      </c>
      <c r="F38">
        <v>77</v>
      </c>
      <c r="G38" s="6">
        <f>F38-E38</f>
        <v>35</v>
      </c>
      <c r="H38">
        <f>IF(G38&lt;=50,F38*0.1, F38*0.2)</f>
        <v>7.7</v>
      </c>
      <c r="I38" s="5" t="s">
        <v>38</v>
      </c>
      <c r="J38" s="5" t="s">
        <v>39</v>
      </c>
      <c r="K38" t="s">
        <v>17</v>
      </c>
    </row>
    <row r="39" spans="1:11" x14ac:dyDescent="0.2">
      <c r="A39" s="1" t="s">
        <v>25</v>
      </c>
      <c r="B39" s="2">
        <v>1038</v>
      </c>
      <c r="C39">
        <v>2499</v>
      </c>
      <c r="D39" t="s">
        <v>12</v>
      </c>
      <c r="E39">
        <v>6.2</v>
      </c>
      <c r="F39">
        <v>9.1999999999999993</v>
      </c>
      <c r="G39" s="6">
        <f>F39-E39</f>
        <v>2.9999999999999991</v>
      </c>
      <c r="H39">
        <f>IF(G39&lt;=50,F39*0.1, F39*0.2)</f>
        <v>0.91999999999999993</v>
      </c>
      <c r="I39" s="5" t="s">
        <v>38</v>
      </c>
      <c r="J39" s="5" t="s">
        <v>39</v>
      </c>
      <c r="K39" t="s">
        <v>17</v>
      </c>
    </row>
    <row r="40" spans="1:11" x14ac:dyDescent="0.2">
      <c r="A40" s="1" t="s">
        <v>25</v>
      </c>
      <c r="B40" s="2">
        <v>1039</v>
      </c>
      <c r="C40">
        <v>2877</v>
      </c>
      <c r="D40" t="s">
        <v>11</v>
      </c>
      <c r="E40">
        <v>11.4</v>
      </c>
      <c r="F40">
        <v>16.3</v>
      </c>
      <c r="G40" s="6">
        <f>F40-E40</f>
        <v>4.9000000000000004</v>
      </c>
      <c r="H40">
        <f>IF(G40&lt;=50,F40*0.1, F40*0.2)</f>
        <v>1.6300000000000001</v>
      </c>
      <c r="I40" s="5" t="s">
        <v>38</v>
      </c>
      <c r="J40" s="5" t="s">
        <v>39</v>
      </c>
      <c r="K40" t="s">
        <v>18</v>
      </c>
    </row>
    <row r="41" spans="1:11" x14ac:dyDescent="0.2">
      <c r="A41" s="1" t="s">
        <v>25</v>
      </c>
      <c r="B41" s="2">
        <v>1040</v>
      </c>
      <c r="C41">
        <v>1109</v>
      </c>
      <c r="D41" t="s">
        <v>14</v>
      </c>
      <c r="E41">
        <v>3</v>
      </c>
      <c r="F41">
        <v>8</v>
      </c>
      <c r="G41" s="6">
        <f>F41-E41</f>
        <v>5</v>
      </c>
      <c r="H41">
        <f>IF(G41&lt;=50,F41*0.1, F41*0.2)</f>
        <v>0.8</v>
      </c>
      <c r="I41" s="5" t="s">
        <v>38</v>
      </c>
      <c r="J41" s="5" t="s">
        <v>39</v>
      </c>
      <c r="K41" t="s">
        <v>16</v>
      </c>
    </row>
    <row r="42" spans="1:11" x14ac:dyDescent="0.2">
      <c r="A42" s="1" t="s">
        <v>25</v>
      </c>
      <c r="B42" s="2">
        <v>1041</v>
      </c>
      <c r="C42">
        <v>2499</v>
      </c>
      <c r="D42" t="s">
        <v>12</v>
      </c>
      <c r="E42">
        <v>6.2</v>
      </c>
      <c r="F42">
        <v>9.1999999999999993</v>
      </c>
      <c r="G42" s="6">
        <f>F42-E42</f>
        <v>2.9999999999999991</v>
      </c>
      <c r="H42">
        <f>IF(G42&lt;=50,F42*0.1, F42*0.2)</f>
        <v>0.91999999999999993</v>
      </c>
      <c r="I42" s="5" t="s">
        <v>36</v>
      </c>
      <c r="J42" s="5" t="s">
        <v>37</v>
      </c>
      <c r="K42" t="s">
        <v>19</v>
      </c>
    </row>
    <row r="43" spans="1:11" x14ac:dyDescent="0.2">
      <c r="A43" s="1" t="s">
        <v>25</v>
      </c>
      <c r="B43" s="2">
        <v>1042</v>
      </c>
      <c r="C43">
        <v>8722</v>
      </c>
      <c r="D43" t="s">
        <v>6</v>
      </c>
      <c r="E43">
        <v>344</v>
      </c>
      <c r="F43">
        <v>502</v>
      </c>
      <c r="G43" s="6">
        <f>F43-E43</f>
        <v>158</v>
      </c>
      <c r="H43">
        <f>IF(G43&lt;=50,F43*0.1, F43*0.2)</f>
        <v>100.4</v>
      </c>
      <c r="I43" s="5" t="s">
        <v>40</v>
      </c>
      <c r="J43" s="5" t="s">
        <v>41</v>
      </c>
      <c r="K43" t="s">
        <v>19</v>
      </c>
    </row>
    <row r="44" spans="1:11" x14ac:dyDescent="0.2">
      <c r="A44" s="1" t="s">
        <v>25</v>
      </c>
      <c r="B44" s="2">
        <v>1043</v>
      </c>
      <c r="C44">
        <v>2242</v>
      </c>
      <c r="D44" t="s">
        <v>8</v>
      </c>
      <c r="E44">
        <v>60</v>
      </c>
      <c r="F44">
        <v>124</v>
      </c>
      <c r="G44" s="6">
        <f>F44-E44</f>
        <v>64</v>
      </c>
      <c r="H44">
        <f>IF(G44&lt;=50,F44*0.1, F44*0.2)</f>
        <v>24.8</v>
      </c>
      <c r="I44" s="5" t="s">
        <v>40</v>
      </c>
      <c r="J44" s="5" t="s">
        <v>41</v>
      </c>
      <c r="K44" t="s">
        <v>18</v>
      </c>
    </row>
    <row r="45" spans="1:11" x14ac:dyDescent="0.2">
      <c r="A45" s="1" t="s">
        <v>25</v>
      </c>
      <c r="B45" s="2">
        <v>1044</v>
      </c>
      <c r="C45">
        <v>2877</v>
      </c>
      <c r="D45" t="s">
        <v>11</v>
      </c>
      <c r="E45">
        <v>11.4</v>
      </c>
      <c r="F45">
        <v>16.3</v>
      </c>
      <c r="G45" s="6">
        <f>F45-E45</f>
        <v>4.9000000000000004</v>
      </c>
      <c r="H45">
        <f>IF(G45&lt;=50,F45*0.1, F45*0.2)</f>
        <v>1.6300000000000001</v>
      </c>
      <c r="I45" s="5" t="s">
        <v>40</v>
      </c>
      <c r="J45" s="5" t="s">
        <v>41</v>
      </c>
      <c r="K45" t="s">
        <v>18</v>
      </c>
    </row>
    <row r="46" spans="1:11" x14ac:dyDescent="0.2">
      <c r="A46" s="1" t="s">
        <v>25</v>
      </c>
      <c r="B46" s="2">
        <v>1045</v>
      </c>
      <c r="C46">
        <v>8722</v>
      </c>
      <c r="D46" t="s">
        <v>6</v>
      </c>
      <c r="E46">
        <v>344</v>
      </c>
      <c r="F46">
        <v>502</v>
      </c>
      <c r="G46" s="6">
        <f>F46-E46</f>
        <v>158</v>
      </c>
      <c r="H46">
        <f>IF(G46&lt;=50,F46*0.1, F46*0.2)</f>
        <v>100.4</v>
      </c>
      <c r="I46" s="5" t="s">
        <v>42</v>
      </c>
      <c r="J46" s="5" t="s">
        <v>43</v>
      </c>
      <c r="K46" t="s">
        <v>16</v>
      </c>
    </row>
    <row r="47" spans="1:11" x14ac:dyDescent="0.2">
      <c r="A47" s="1" t="s">
        <v>25</v>
      </c>
      <c r="B47" s="2">
        <v>1046</v>
      </c>
      <c r="C47">
        <v>6119</v>
      </c>
      <c r="D47" t="s">
        <v>13</v>
      </c>
      <c r="E47">
        <v>9</v>
      </c>
      <c r="F47">
        <v>14</v>
      </c>
      <c r="G47" s="6">
        <f>F47-E47</f>
        <v>5</v>
      </c>
      <c r="H47">
        <f>IF(G47&lt;=50,F47*0.1, F47*0.2)</f>
        <v>1.4000000000000001</v>
      </c>
      <c r="I47" s="5" t="s">
        <v>38</v>
      </c>
      <c r="J47" s="5" t="s">
        <v>39</v>
      </c>
      <c r="K47" t="s">
        <v>21</v>
      </c>
    </row>
    <row r="48" spans="1:11" x14ac:dyDescent="0.2">
      <c r="A48" s="1" t="s">
        <v>25</v>
      </c>
      <c r="B48" s="2">
        <v>1047</v>
      </c>
      <c r="C48">
        <v>6622</v>
      </c>
      <c r="D48" t="s">
        <v>7</v>
      </c>
      <c r="E48">
        <v>42</v>
      </c>
      <c r="F48">
        <v>77</v>
      </c>
      <c r="G48" s="6">
        <f>F48-E48</f>
        <v>35</v>
      </c>
      <c r="H48">
        <f>IF(G48&lt;=50,F48*0.1, F48*0.2)</f>
        <v>7.7</v>
      </c>
      <c r="I48" s="5" t="s">
        <v>42</v>
      </c>
      <c r="J48" s="5" t="s">
        <v>43</v>
      </c>
      <c r="K48" t="s">
        <v>16</v>
      </c>
    </row>
    <row r="49" spans="1:11" x14ac:dyDescent="0.2">
      <c r="A49" s="1" t="s">
        <v>25</v>
      </c>
      <c r="B49" s="2">
        <v>1048</v>
      </c>
      <c r="C49">
        <v>8722</v>
      </c>
      <c r="D49" t="s">
        <v>6</v>
      </c>
      <c r="E49">
        <v>344</v>
      </c>
      <c r="F49">
        <v>502</v>
      </c>
      <c r="G49" s="6">
        <f>F49-E49</f>
        <v>158</v>
      </c>
      <c r="H49">
        <f>IF(G49&lt;=50,F49*0.1, F49*0.2)</f>
        <v>100.4</v>
      </c>
      <c r="I49" s="5" t="s">
        <v>36</v>
      </c>
      <c r="J49" s="5" t="s">
        <v>37</v>
      </c>
      <c r="K49" t="s">
        <v>16</v>
      </c>
    </row>
    <row r="50" spans="1:11" x14ac:dyDescent="0.2">
      <c r="A50" s="1" t="s">
        <v>31</v>
      </c>
      <c r="B50" s="2">
        <v>1049</v>
      </c>
      <c r="C50">
        <v>2499</v>
      </c>
      <c r="D50" t="s">
        <v>12</v>
      </c>
      <c r="E50">
        <v>6.2</v>
      </c>
      <c r="F50">
        <v>9.1999999999999993</v>
      </c>
      <c r="G50" s="6">
        <f>F50-E50</f>
        <v>2.9999999999999991</v>
      </c>
      <c r="H50">
        <f>IF(G50&lt;=50,F50*0.1, F50*0.2)</f>
        <v>0.91999999999999993</v>
      </c>
      <c r="I50" s="5" t="s">
        <v>36</v>
      </c>
      <c r="J50" s="5" t="s">
        <v>37</v>
      </c>
      <c r="K50" t="s">
        <v>20</v>
      </c>
    </row>
    <row r="51" spans="1:11" x14ac:dyDescent="0.2">
      <c r="A51" s="1" t="s">
        <v>31</v>
      </c>
      <c r="B51" s="2">
        <v>1050</v>
      </c>
      <c r="C51">
        <v>2877</v>
      </c>
      <c r="D51" t="s">
        <v>11</v>
      </c>
      <c r="E51">
        <v>11.4</v>
      </c>
      <c r="F51">
        <v>16.3</v>
      </c>
      <c r="G51" s="6">
        <f>F51-E51</f>
        <v>4.9000000000000004</v>
      </c>
      <c r="H51">
        <f>IF(G51&lt;=50,F51*0.1, F51*0.2)</f>
        <v>1.6300000000000001</v>
      </c>
      <c r="I51" s="5" t="s">
        <v>36</v>
      </c>
      <c r="J51" s="5" t="s">
        <v>37</v>
      </c>
      <c r="K51" t="s">
        <v>16</v>
      </c>
    </row>
    <row r="52" spans="1:11" x14ac:dyDescent="0.2">
      <c r="A52" s="1" t="s">
        <v>31</v>
      </c>
      <c r="B52" s="2">
        <v>1051</v>
      </c>
      <c r="C52">
        <v>6119</v>
      </c>
      <c r="D52" t="s">
        <v>13</v>
      </c>
      <c r="E52">
        <v>9</v>
      </c>
      <c r="F52">
        <v>14</v>
      </c>
      <c r="G52" s="6">
        <f>F52-E52</f>
        <v>5</v>
      </c>
      <c r="H52">
        <f>IF(G52&lt;=50,F52*0.1, F52*0.2)</f>
        <v>1.4000000000000001</v>
      </c>
      <c r="I52" s="5" t="s">
        <v>40</v>
      </c>
      <c r="J52" s="5" t="s">
        <v>41</v>
      </c>
      <c r="K52" t="s">
        <v>21</v>
      </c>
    </row>
    <row r="53" spans="1:11" x14ac:dyDescent="0.2">
      <c r="A53" s="1" t="s">
        <v>31</v>
      </c>
      <c r="B53" s="2">
        <v>1052</v>
      </c>
      <c r="C53">
        <v>6622</v>
      </c>
      <c r="D53" t="s">
        <v>7</v>
      </c>
      <c r="E53">
        <v>42</v>
      </c>
      <c r="F53">
        <v>77</v>
      </c>
      <c r="G53" s="6">
        <f>F53-E53</f>
        <v>35</v>
      </c>
      <c r="H53">
        <f>IF(G53&lt;=50,F53*0.1, F53*0.2)</f>
        <v>7.7</v>
      </c>
      <c r="I53" s="5" t="s">
        <v>40</v>
      </c>
      <c r="J53" s="5" t="s">
        <v>41</v>
      </c>
      <c r="K53" t="s">
        <v>16</v>
      </c>
    </row>
    <row r="54" spans="1:11" x14ac:dyDescent="0.2">
      <c r="A54" s="1" t="s">
        <v>31</v>
      </c>
      <c r="B54" s="2">
        <v>1053</v>
      </c>
      <c r="C54">
        <v>2242</v>
      </c>
      <c r="D54" t="s">
        <v>8</v>
      </c>
      <c r="E54">
        <v>60</v>
      </c>
      <c r="F54">
        <v>124</v>
      </c>
      <c r="G54" s="6">
        <f>F54-E54</f>
        <v>64</v>
      </c>
      <c r="H54">
        <f>IF(G54&lt;=50,F54*0.1, F54*0.2)</f>
        <v>24.8</v>
      </c>
      <c r="I54" s="5" t="s">
        <v>36</v>
      </c>
      <c r="J54" s="5" t="s">
        <v>37</v>
      </c>
      <c r="K54" t="s">
        <v>18</v>
      </c>
    </row>
    <row r="55" spans="1:11" x14ac:dyDescent="0.2">
      <c r="A55" s="1" t="s">
        <v>31</v>
      </c>
      <c r="B55" s="2">
        <v>1054</v>
      </c>
      <c r="C55">
        <v>4421</v>
      </c>
      <c r="D55" t="s">
        <v>9</v>
      </c>
      <c r="E55">
        <v>45</v>
      </c>
      <c r="F55">
        <v>87</v>
      </c>
      <c r="G55" s="6">
        <f>F55-E55</f>
        <v>42</v>
      </c>
      <c r="H55">
        <f>IF(G55&lt;=50,F55*0.1, F55*0.2)</f>
        <v>8.7000000000000011</v>
      </c>
      <c r="I55" s="5" t="s">
        <v>40</v>
      </c>
      <c r="J55" s="5" t="s">
        <v>41</v>
      </c>
      <c r="K55" t="s">
        <v>17</v>
      </c>
    </row>
    <row r="56" spans="1:11" x14ac:dyDescent="0.2">
      <c r="A56" s="1" t="s">
        <v>31</v>
      </c>
      <c r="B56" s="2">
        <v>1055</v>
      </c>
      <c r="C56">
        <v>6119</v>
      </c>
      <c r="D56" t="s">
        <v>13</v>
      </c>
      <c r="E56">
        <v>9</v>
      </c>
      <c r="F56">
        <v>14</v>
      </c>
      <c r="G56" s="6">
        <f>F56-E56</f>
        <v>5</v>
      </c>
      <c r="H56">
        <f>IF(G56&lt;=50,F56*0.1, F56*0.2)</f>
        <v>1.4000000000000001</v>
      </c>
      <c r="I56" s="5" t="s">
        <v>38</v>
      </c>
      <c r="J56" s="5" t="s">
        <v>39</v>
      </c>
      <c r="K56" t="s">
        <v>17</v>
      </c>
    </row>
    <row r="57" spans="1:11" x14ac:dyDescent="0.2">
      <c r="A57" s="1" t="s">
        <v>31</v>
      </c>
      <c r="B57" s="2">
        <v>1056</v>
      </c>
      <c r="C57">
        <v>1109</v>
      </c>
      <c r="D57" t="s">
        <v>14</v>
      </c>
      <c r="E57">
        <v>3</v>
      </c>
      <c r="F57">
        <v>8</v>
      </c>
      <c r="G57" s="6">
        <f>F57-E57</f>
        <v>5</v>
      </c>
      <c r="H57">
        <f>IF(G57&lt;=50,F57*0.1, F57*0.2)</f>
        <v>0.8</v>
      </c>
      <c r="I57" s="5" t="s">
        <v>40</v>
      </c>
      <c r="J57" s="5" t="s">
        <v>41</v>
      </c>
      <c r="K57" t="s">
        <v>18</v>
      </c>
    </row>
    <row r="58" spans="1:11" x14ac:dyDescent="0.2">
      <c r="A58" s="1" t="s">
        <v>31</v>
      </c>
      <c r="B58" s="2">
        <v>1057</v>
      </c>
      <c r="C58">
        <v>2499</v>
      </c>
      <c r="D58" t="s">
        <v>12</v>
      </c>
      <c r="E58">
        <v>6.2</v>
      </c>
      <c r="F58">
        <v>9.1999999999999993</v>
      </c>
      <c r="G58" s="6">
        <f>F58-E58</f>
        <v>2.9999999999999991</v>
      </c>
      <c r="H58">
        <f>IF(G58&lt;=50,F58*0.1, F58*0.2)</f>
        <v>0.91999999999999993</v>
      </c>
      <c r="I58" s="5" t="s">
        <v>38</v>
      </c>
      <c r="J58" s="5" t="s">
        <v>39</v>
      </c>
      <c r="K58" t="s">
        <v>18</v>
      </c>
    </row>
    <row r="59" spans="1:11" x14ac:dyDescent="0.2">
      <c r="A59" s="1" t="s">
        <v>31</v>
      </c>
      <c r="B59" s="2">
        <v>1058</v>
      </c>
      <c r="C59">
        <v>6119</v>
      </c>
      <c r="D59" t="s">
        <v>13</v>
      </c>
      <c r="E59">
        <v>9</v>
      </c>
      <c r="F59">
        <v>14</v>
      </c>
      <c r="G59" s="6">
        <f>F59-E59</f>
        <v>5</v>
      </c>
      <c r="H59">
        <f>IF(G59&lt;=50,F59*0.1, F59*0.2)</f>
        <v>1.4000000000000001</v>
      </c>
      <c r="I59" s="5" t="s">
        <v>42</v>
      </c>
      <c r="J59" s="5" t="s">
        <v>43</v>
      </c>
      <c r="K59" t="s">
        <v>16</v>
      </c>
    </row>
    <row r="60" spans="1:11" x14ac:dyDescent="0.2">
      <c r="A60" s="1" t="s">
        <v>31</v>
      </c>
      <c r="B60" s="2">
        <v>1059</v>
      </c>
      <c r="C60">
        <v>2242</v>
      </c>
      <c r="D60" t="s">
        <v>8</v>
      </c>
      <c r="E60">
        <v>60</v>
      </c>
      <c r="F60">
        <v>124</v>
      </c>
      <c r="G60" s="6">
        <f>F60-E60</f>
        <v>64</v>
      </c>
      <c r="H60">
        <f>IF(G60&lt;=50,F60*0.1, F60*0.2)</f>
        <v>24.8</v>
      </c>
      <c r="I60" s="5" t="s">
        <v>40</v>
      </c>
      <c r="J60" s="5" t="s">
        <v>41</v>
      </c>
      <c r="K60" t="s">
        <v>16</v>
      </c>
    </row>
    <row r="61" spans="1:11" x14ac:dyDescent="0.2">
      <c r="A61" s="1" t="s">
        <v>31</v>
      </c>
      <c r="B61" s="2">
        <v>1060</v>
      </c>
      <c r="C61">
        <v>6119</v>
      </c>
      <c r="D61" t="s">
        <v>13</v>
      </c>
      <c r="E61">
        <v>9</v>
      </c>
      <c r="F61">
        <v>14</v>
      </c>
      <c r="G61" s="6">
        <f>F61-E61</f>
        <v>5</v>
      </c>
      <c r="H61">
        <f>IF(G61&lt;=50,F61*0.1, F61*0.2)</f>
        <v>1.4000000000000001</v>
      </c>
      <c r="I61" s="5" t="s">
        <v>40</v>
      </c>
      <c r="J61" s="5" t="s">
        <v>41</v>
      </c>
      <c r="K61" t="s">
        <v>17</v>
      </c>
    </row>
    <row r="62" spans="1:11" x14ac:dyDescent="0.2">
      <c r="A62" s="1" t="s">
        <v>26</v>
      </c>
      <c r="B62" s="2">
        <v>1061</v>
      </c>
      <c r="C62">
        <v>1109</v>
      </c>
      <c r="D62" t="s">
        <v>14</v>
      </c>
      <c r="E62">
        <v>3</v>
      </c>
      <c r="F62">
        <v>8</v>
      </c>
      <c r="G62" s="6">
        <f>F62-E62</f>
        <v>5</v>
      </c>
      <c r="H62">
        <f>IF(G62&lt;=50,F62*0.1, F62*0.2)</f>
        <v>0.8</v>
      </c>
      <c r="I62" s="5" t="s">
        <v>40</v>
      </c>
      <c r="J62" s="5" t="s">
        <v>41</v>
      </c>
      <c r="K62" t="s">
        <v>17</v>
      </c>
    </row>
    <row r="63" spans="1:11" x14ac:dyDescent="0.2">
      <c r="A63" s="1" t="s">
        <v>26</v>
      </c>
      <c r="B63" s="2">
        <v>1062</v>
      </c>
      <c r="C63">
        <v>2499</v>
      </c>
      <c r="D63" t="s">
        <v>12</v>
      </c>
      <c r="E63">
        <v>6.2</v>
      </c>
      <c r="F63">
        <v>9.1999999999999993</v>
      </c>
      <c r="G63" s="6">
        <f>F63-E63</f>
        <v>2.9999999999999991</v>
      </c>
      <c r="H63">
        <f>IF(G63&lt;=50,F63*0.1, F63*0.2)</f>
        <v>0.91999999999999993</v>
      </c>
      <c r="I63" s="5" t="s">
        <v>36</v>
      </c>
      <c r="J63" s="5" t="s">
        <v>37</v>
      </c>
      <c r="K63" t="s">
        <v>16</v>
      </c>
    </row>
    <row r="64" spans="1:11" x14ac:dyDescent="0.2">
      <c r="A64" s="1" t="s">
        <v>26</v>
      </c>
      <c r="B64" s="2">
        <v>1063</v>
      </c>
      <c r="C64">
        <v>1109</v>
      </c>
      <c r="D64" t="s">
        <v>14</v>
      </c>
      <c r="E64">
        <v>3</v>
      </c>
      <c r="F64">
        <v>8</v>
      </c>
      <c r="G64" s="6">
        <f>F64-E64</f>
        <v>5</v>
      </c>
      <c r="H64">
        <f>IF(G64&lt;=50,F64*0.1, F64*0.2)</f>
        <v>0.8</v>
      </c>
      <c r="I64" s="5" t="s">
        <v>40</v>
      </c>
      <c r="J64" s="5" t="s">
        <v>41</v>
      </c>
      <c r="K64" t="s">
        <v>18</v>
      </c>
    </row>
    <row r="65" spans="1:11" x14ac:dyDescent="0.2">
      <c r="A65" s="1" t="s">
        <v>26</v>
      </c>
      <c r="B65" s="2">
        <v>1064</v>
      </c>
      <c r="C65">
        <v>2499</v>
      </c>
      <c r="D65" t="s">
        <v>12</v>
      </c>
      <c r="E65">
        <v>6.2</v>
      </c>
      <c r="F65">
        <v>9.1999999999999993</v>
      </c>
      <c r="G65" s="6">
        <f>F65-E65</f>
        <v>2.9999999999999991</v>
      </c>
      <c r="H65">
        <f>IF(G65&lt;=50,F65*0.1, F65*0.2)</f>
        <v>0.91999999999999993</v>
      </c>
      <c r="I65" s="5" t="s">
        <v>42</v>
      </c>
      <c r="J65" s="5" t="s">
        <v>43</v>
      </c>
      <c r="K65" t="s">
        <v>16</v>
      </c>
    </row>
    <row r="66" spans="1:11" x14ac:dyDescent="0.2">
      <c r="A66" s="1" t="s">
        <v>26</v>
      </c>
      <c r="B66" s="2">
        <v>1065</v>
      </c>
      <c r="C66">
        <v>2499</v>
      </c>
      <c r="D66" t="s">
        <v>12</v>
      </c>
      <c r="E66">
        <v>6.2</v>
      </c>
      <c r="F66">
        <v>9.1999999999999993</v>
      </c>
      <c r="G66" s="6">
        <f>F66-E66</f>
        <v>2.9999999999999991</v>
      </c>
      <c r="H66">
        <f>IF(G66&lt;=50,F66*0.1, F66*0.2)</f>
        <v>0.91999999999999993</v>
      </c>
      <c r="I66" s="5" t="s">
        <v>40</v>
      </c>
      <c r="J66" s="5" t="s">
        <v>41</v>
      </c>
      <c r="K66" t="s">
        <v>19</v>
      </c>
    </row>
    <row r="67" spans="1:11" x14ac:dyDescent="0.2">
      <c r="A67" s="1" t="s">
        <v>26</v>
      </c>
      <c r="B67" s="2">
        <v>1066</v>
      </c>
      <c r="C67">
        <v>2877</v>
      </c>
      <c r="D67" t="s">
        <v>11</v>
      </c>
      <c r="E67">
        <v>11.4</v>
      </c>
      <c r="F67">
        <v>16.3</v>
      </c>
      <c r="G67" s="6">
        <f>F67-E67</f>
        <v>4.9000000000000004</v>
      </c>
      <c r="H67">
        <f>IF(G67&lt;=50,F67*0.1, F67*0.2)</f>
        <v>1.6300000000000001</v>
      </c>
      <c r="I67" s="5" t="s">
        <v>40</v>
      </c>
      <c r="J67" s="5" t="s">
        <v>41</v>
      </c>
      <c r="K67" t="s">
        <v>17</v>
      </c>
    </row>
    <row r="68" spans="1:11" x14ac:dyDescent="0.2">
      <c r="A68" s="1" t="s">
        <v>26</v>
      </c>
      <c r="B68" s="2">
        <v>1067</v>
      </c>
      <c r="C68">
        <v>2877</v>
      </c>
      <c r="D68" t="s">
        <v>11</v>
      </c>
      <c r="E68">
        <v>11.4</v>
      </c>
      <c r="F68">
        <v>16.3</v>
      </c>
      <c r="G68" s="6">
        <f>F68-E68</f>
        <v>4.9000000000000004</v>
      </c>
      <c r="H68">
        <f>IF(G68&lt;=50,F68*0.1, F68*0.2)</f>
        <v>1.6300000000000001</v>
      </c>
      <c r="I68" s="5" t="s">
        <v>40</v>
      </c>
      <c r="J68" s="5" t="s">
        <v>41</v>
      </c>
      <c r="K68" t="s">
        <v>21</v>
      </c>
    </row>
    <row r="69" spans="1:11" x14ac:dyDescent="0.2">
      <c r="A69" s="1" t="s">
        <v>26</v>
      </c>
      <c r="B69" s="2">
        <v>1068</v>
      </c>
      <c r="C69">
        <v>6119</v>
      </c>
      <c r="D69" t="s">
        <v>13</v>
      </c>
      <c r="E69">
        <v>9</v>
      </c>
      <c r="F69">
        <v>14</v>
      </c>
      <c r="G69" s="6">
        <f>F69-E69</f>
        <v>5</v>
      </c>
      <c r="H69">
        <f>IF(G69&lt;=50,F69*0.1, F69*0.2)</f>
        <v>1.4000000000000001</v>
      </c>
      <c r="I69" s="5" t="s">
        <v>38</v>
      </c>
      <c r="J69" s="5" t="s">
        <v>39</v>
      </c>
      <c r="K69" t="s">
        <v>18</v>
      </c>
    </row>
    <row r="70" spans="1:11" x14ac:dyDescent="0.2">
      <c r="A70" s="1" t="s">
        <v>26</v>
      </c>
      <c r="B70" s="2">
        <v>1069</v>
      </c>
      <c r="C70">
        <v>1109</v>
      </c>
      <c r="D70" t="s">
        <v>14</v>
      </c>
      <c r="E70">
        <v>3</v>
      </c>
      <c r="F70">
        <v>8</v>
      </c>
      <c r="G70" s="6">
        <f>F70-E70</f>
        <v>5</v>
      </c>
      <c r="H70">
        <f>IF(G70&lt;=50,F70*0.1, F70*0.2)</f>
        <v>0.8</v>
      </c>
      <c r="I70" s="5" t="s">
        <v>40</v>
      </c>
      <c r="J70" s="5" t="s">
        <v>41</v>
      </c>
      <c r="K70" t="s">
        <v>16</v>
      </c>
    </row>
    <row r="71" spans="1:11" x14ac:dyDescent="0.2">
      <c r="A71" s="1" t="s">
        <v>26</v>
      </c>
      <c r="B71" s="2">
        <v>1070</v>
      </c>
      <c r="C71">
        <v>2499</v>
      </c>
      <c r="D71" t="s">
        <v>12</v>
      </c>
      <c r="E71">
        <v>6.2</v>
      </c>
      <c r="F71">
        <v>9.1999999999999993</v>
      </c>
      <c r="G71" s="6">
        <f>F71-E71</f>
        <v>2.9999999999999991</v>
      </c>
      <c r="H71">
        <f>IF(G71&lt;=50,F71*0.1, F71*0.2)</f>
        <v>0.91999999999999993</v>
      </c>
      <c r="I71" s="5" t="s">
        <v>42</v>
      </c>
      <c r="J71" s="5" t="s">
        <v>43</v>
      </c>
      <c r="K71" t="s">
        <v>16</v>
      </c>
    </row>
    <row r="72" spans="1:11" x14ac:dyDescent="0.2">
      <c r="A72" s="1" t="s">
        <v>26</v>
      </c>
      <c r="B72" s="2">
        <v>1071</v>
      </c>
      <c r="C72">
        <v>1109</v>
      </c>
      <c r="D72" t="s">
        <v>14</v>
      </c>
      <c r="E72">
        <v>3</v>
      </c>
      <c r="F72">
        <v>8</v>
      </c>
      <c r="G72" s="6">
        <f>F72-E72</f>
        <v>5</v>
      </c>
      <c r="H72">
        <f>IF(G72&lt;=50,F72*0.1, F72*0.2)</f>
        <v>0.8</v>
      </c>
      <c r="I72" s="5" t="s">
        <v>36</v>
      </c>
      <c r="J72" s="5" t="s">
        <v>37</v>
      </c>
      <c r="K72" t="s">
        <v>16</v>
      </c>
    </row>
    <row r="73" spans="1:11" x14ac:dyDescent="0.2">
      <c r="A73" s="1" t="s">
        <v>26</v>
      </c>
      <c r="B73" s="2">
        <v>1072</v>
      </c>
      <c r="C73">
        <v>1109</v>
      </c>
      <c r="D73" t="s">
        <v>14</v>
      </c>
      <c r="E73">
        <v>3</v>
      </c>
      <c r="F73">
        <v>8</v>
      </c>
      <c r="G73" s="6">
        <f>F73-E73</f>
        <v>5</v>
      </c>
      <c r="H73">
        <f>IF(G73&lt;=50,F73*0.1, F73*0.2)</f>
        <v>0.8</v>
      </c>
      <c r="I73" s="5" t="s">
        <v>40</v>
      </c>
      <c r="J73" s="5" t="s">
        <v>41</v>
      </c>
      <c r="K73" t="s">
        <v>17</v>
      </c>
    </row>
    <row r="74" spans="1:11" x14ac:dyDescent="0.2">
      <c r="A74" s="1" t="s">
        <v>26</v>
      </c>
      <c r="B74" s="2">
        <v>1073</v>
      </c>
      <c r="C74">
        <v>6622</v>
      </c>
      <c r="D74" t="s">
        <v>7</v>
      </c>
      <c r="E74">
        <v>42</v>
      </c>
      <c r="F74">
        <v>77</v>
      </c>
      <c r="G74" s="6">
        <f>F74-E74</f>
        <v>35</v>
      </c>
      <c r="H74">
        <f>IF(G74&lt;=50,F74*0.1, F74*0.2)</f>
        <v>7.7</v>
      </c>
      <c r="I74" s="5" t="s">
        <v>40</v>
      </c>
      <c r="J74" s="5" t="s">
        <v>41</v>
      </c>
      <c r="K74" t="s">
        <v>18</v>
      </c>
    </row>
    <row r="75" spans="1:11" x14ac:dyDescent="0.2">
      <c r="A75" s="1" t="s">
        <v>26</v>
      </c>
      <c r="B75" s="2">
        <v>1074</v>
      </c>
      <c r="C75">
        <v>2877</v>
      </c>
      <c r="D75" t="s">
        <v>11</v>
      </c>
      <c r="E75">
        <v>11.4</v>
      </c>
      <c r="F75">
        <v>16.3</v>
      </c>
      <c r="G75" s="6">
        <f>F75-E75</f>
        <v>4.9000000000000004</v>
      </c>
      <c r="H75">
        <f>IF(G75&lt;=50,F75*0.1, F75*0.2)</f>
        <v>1.6300000000000001</v>
      </c>
      <c r="I75" s="5" t="s">
        <v>40</v>
      </c>
      <c r="J75" s="5" t="s">
        <v>41</v>
      </c>
      <c r="K75" t="s">
        <v>16</v>
      </c>
    </row>
    <row r="76" spans="1:11" x14ac:dyDescent="0.2">
      <c r="A76" s="1" t="s">
        <v>26</v>
      </c>
      <c r="B76" s="2">
        <v>1075</v>
      </c>
      <c r="C76">
        <v>1109</v>
      </c>
      <c r="D76" t="s">
        <v>14</v>
      </c>
      <c r="E76">
        <v>3</v>
      </c>
      <c r="F76">
        <v>8</v>
      </c>
      <c r="G76" s="6">
        <f>F76-E76</f>
        <v>5</v>
      </c>
      <c r="H76">
        <f>IF(G76&lt;=50,F76*0.1, F76*0.2)</f>
        <v>0.8</v>
      </c>
      <c r="I76" s="5" t="s">
        <v>42</v>
      </c>
      <c r="J76" s="5" t="s">
        <v>43</v>
      </c>
      <c r="K76" t="s">
        <v>18</v>
      </c>
    </row>
    <row r="77" spans="1:11" x14ac:dyDescent="0.2">
      <c r="A77" s="1" t="s">
        <v>26</v>
      </c>
      <c r="B77" s="2">
        <v>1076</v>
      </c>
      <c r="C77">
        <v>1109</v>
      </c>
      <c r="D77" t="s">
        <v>14</v>
      </c>
      <c r="E77">
        <v>3</v>
      </c>
      <c r="F77">
        <v>8</v>
      </c>
      <c r="G77" s="6">
        <f>F77-E77</f>
        <v>5</v>
      </c>
      <c r="H77">
        <f>IF(G77&lt;=50,F77*0.1, F77*0.2)</f>
        <v>0.8</v>
      </c>
      <c r="I77" s="5" t="s">
        <v>38</v>
      </c>
      <c r="J77" s="5" t="s">
        <v>39</v>
      </c>
      <c r="K77" t="s">
        <v>16</v>
      </c>
    </row>
    <row r="78" spans="1:11" x14ac:dyDescent="0.2">
      <c r="A78" s="1" t="s">
        <v>26</v>
      </c>
      <c r="B78" s="2">
        <v>1077</v>
      </c>
      <c r="C78">
        <v>9822</v>
      </c>
      <c r="D78" t="s">
        <v>5</v>
      </c>
      <c r="E78">
        <v>58.3</v>
      </c>
      <c r="F78">
        <v>98.4</v>
      </c>
      <c r="G78" s="6">
        <f>F78-E78</f>
        <v>40.100000000000009</v>
      </c>
      <c r="H78">
        <f>IF(G78&lt;=50,F78*0.1, F78*0.2)</f>
        <v>9.8400000000000016</v>
      </c>
      <c r="I78" s="5" t="s">
        <v>42</v>
      </c>
      <c r="J78" s="5" t="s">
        <v>43</v>
      </c>
      <c r="K78" t="s">
        <v>16</v>
      </c>
    </row>
    <row r="79" spans="1:11" x14ac:dyDescent="0.2">
      <c r="A79" s="1" t="s">
        <v>26</v>
      </c>
      <c r="B79" s="2">
        <v>1078</v>
      </c>
      <c r="C79">
        <v>2877</v>
      </c>
      <c r="D79" t="s">
        <v>11</v>
      </c>
      <c r="E79">
        <v>11.4</v>
      </c>
      <c r="F79">
        <v>16.3</v>
      </c>
      <c r="G79" s="6">
        <f>F79-E79</f>
        <v>4.9000000000000004</v>
      </c>
      <c r="H79">
        <f>IF(G79&lt;=50,F79*0.1, F79*0.2)</f>
        <v>1.6300000000000001</v>
      </c>
      <c r="I79" s="5" t="s">
        <v>38</v>
      </c>
      <c r="J79" s="5" t="s">
        <v>39</v>
      </c>
      <c r="K79" t="s">
        <v>17</v>
      </c>
    </row>
    <row r="80" spans="1:11" x14ac:dyDescent="0.2">
      <c r="A80" s="1" t="s">
        <v>32</v>
      </c>
      <c r="B80" s="2">
        <v>1079</v>
      </c>
      <c r="C80">
        <v>2877</v>
      </c>
      <c r="D80" t="s">
        <v>11</v>
      </c>
      <c r="E80">
        <v>11.4</v>
      </c>
      <c r="F80">
        <v>16.3</v>
      </c>
      <c r="G80" s="6">
        <f>F80-E80</f>
        <v>4.9000000000000004</v>
      </c>
      <c r="H80">
        <f>IF(G80&lt;=50,F80*0.1, F80*0.2)</f>
        <v>1.6300000000000001</v>
      </c>
      <c r="I80" s="5" t="s">
        <v>38</v>
      </c>
      <c r="J80" s="5" t="s">
        <v>39</v>
      </c>
      <c r="K80" t="s">
        <v>19</v>
      </c>
    </row>
    <row r="81" spans="1:11" x14ac:dyDescent="0.2">
      <c r="A81" s="1" t="s">
        <v>32</v>
      </c>
      <c r="B81" s="2">
        <v>1080</v>
      </c>
      <c r="C81">
        <v>4421</v>
      </c>
      <c r="D81" t="s">
        <v>9</v>
      </c>
      <c r="E81">
        <v>45</v>
      </c>
      <c r="F81">
        <v>87</v>
      </c>
      <c r="G81" s="6">
        <f>F81-E81</f>
        <v>42</v>
      </c>
      <c r="H81">
        <f>IF(G81&lt;=50,F81*0.1, F81*0.2)</f>
        <v>8.7000000000000011</v>
      </c>
      <c r="I81" s="5" t="s">
        <v>40</v>
      </c>
      <c r="J81" s="5" t="s">
        <v>41</v>
      </c>
      <c r="K81" t="s">
        <v>18</v>
      </c>
    </row>
    <row r="82" spans="1:11" x14ac:dyDescent="0.2">
      <c r="A82" s="1" t="s">
        <v>32</v>
      </c>
      <c r="B82" s="2">
        <v>1081</v>
      </c>
      <c r="C82">
        <v>6119</v>
      </c>
      <c r="D82" t="s">
        <v>13</v>
      </c>
      <c r="E82">
        <v>9</v>
      </c>
      <c r="F82">
        <v>14</v>
      </c>
      <c r="G82" s="6">
        <f>F82-E82</f>
        <v>5</v>
      </c>
      <c r="H82">
        <f>IF(G82&lt;=50,F82*0.1, F82*0.2)</f>
        <v>1.4000000000000001</v>
      </c>
      <c r="I82" s="5" t="s">
        <v>40</v>
      </c>
      <c r="J82" s="5" t="s">
        <v>41</v>
      </c>
      <c r="K82" t="s">
        <v>21</v>
      </c>
    </row>
    <row r="83" spans="1:11" x14ac:dyDescent="0.2">
      <c r="A83" s="1" t="s">
        <v>32</v>
      </c>
      <c r="B83" s="2">
        <v>1082</v>
      </c>
      <c r="C83">
        <v>1109</v>
      </c>
      <c r="D83" t="s">
        <v>14</v>
      </c>
      <c r="E83">
        <v>3</v>
      </c>
      <c r="F83">
        <v>8</v>
      </c>
      <c r="G83" s="6">
        <f>F83-E83</f>
        <v>5</v>
      </c>
      <c r="H83">
        <f>IF(G83&lt;=50,F83*0.1, F83*0.2)</f>
        <v>0.8</v>
      </c>
      <c r="I83" s="5" t="s">
        <v>36</v>
      </c>
      <c r="J83" s="5" t="s">
        <v>37</v>
      </c>
      <c r="K83" t="s">
        <v>18</v>
      </c>
    </row>
    <row r="84" spans="1:11" x14ac:dyDescent="0.2">
      <c r="A84" s="1" t="s">
        <v>32</v>
      </c>
      <c r="B84" s="2">
        <v>1083</v>
      </c>
      <c r="C84">
        <v>1109</v>
      </c>
      <c r="D84" t="s">
        <v>14</v>
      </c>
      <c r="E84">
        <v>3</v>
      </c>
      <c r="F84">
        <v>8</v>
      </c>
      <c r="G84" s="6">
        <f>F84-E84</f>
        <v>5</v>
      </c>
      <c r="H84">
        <f>IF(G84&lt;=50,F84*0.1, F84*0.2)</f>
        <v>0.8</v>
      </c>
      <c r="I84" s="5" t="s">
        <v>36</v>
      </c>
      <c r="J84" s="5" t="s">
        <v>37</v>
      </c>
      <c r="K84" t="s">
        <v>17</v>
      </c>
    </row>
    <row r="85" spans="1:11" x14ac:dyDescent="0.2">
      <c r="A85" s="1" t="s">
        <v>32</v>
      </c>
      <c r="B85" s="2">
        <v>1084</v>
      </c>
      <c r="C85">
        <v>6119</v>
      </c>
      <c r="D85" t="s">
        <v>13</v>
      </c>
      <c r="E85">
        <v>9</v>
      </c>
      <c r="F85">
        <v>14</v>
      </c>
      <c r="G85" s="6">
        <f>F85-E85</f>
        <v>5</v>
      </c>
      <c r="H85">
        <f>IF(G85&lt;=50,F85*0.1, F85*0.2)</f>
        <v>1.4000000000000001</v>
      </c>
      <c r="I85" s="5" t="s">
        <v>36</v>
      </c>
      <c r="J85" s="5" t="s">
        <v>37</v>
      </c>
      <c r="K85" t="s">
        <v>16</v>
      </c>
    </row>
    <row r="86" spans="1:11" x14ac:dyDescent="0.2">
      <c r="A86" s="1" t="s">
        <v>32</v>
      </c>
      <c r="B86" s="2">
        <v>1085</v>
      </c>
      <c r="C86">
        <v>9822</v>
      </c>
      <c r="D86" t="s">
        <v>5</v>
      </c>
      <c r="E86">
        <v>58.3</v>
      </c>
      <c r="F86">
        <v>98.4</v>
      </c>
      <c r="G86" s="6">
        <f>F86-E86</f>
        <v>40.100000000000009</v>
      </c>
      <c r="H86">
        <f>IF(G86&lt;=50,F86*0.1, F86*0.2)</f>
        <v>9.8400000000000016</v>
      </c>
      <c r="I86" s="5" t="s">
        <v>40</v>
      </c>
      <c r="J86" s="5" t="s">
        <v>41</v>
      </c>
      <c r="K86" t="s">
        <v>17</v>
      </c>
    </row>
    <row r="87" spans="1:11" x14ac:dyDescent="0.2">
      <c r="A87" s="1" t="s">
        <v>32</v>
      </c>
      <c r="B87" s="2">
        <v>1086</v>
      </c>
      <c r="C87">
        <v>1109</v>
      </c>
      <c r="D87" t="s">
        <v>14</v>
      </c>
      <c r="E87">
        <v>3</v>
      </c>
      <c r="F87">
        <v>8</v>
      </c>
      <c r="G87" s="6">
        <f>F87-E87</f>
        <v>5</v>
      </c>
      <c r="H87">
        <f>IF(G87&lt;=50,F87*0.1, F87*0.2)</f>
        <v>0.8</v>
      </c>
      <c r="I87" s="5" t="s">
        <v>42</v>
      </c>
      <c r="J87" s="5" t="s">
        <v>43</v>
      </c>
      <c r="K87" t="s">
        <v>16</v>
      </c>
    </row>
    <row r="88" spans="1:11" x14ac:dyDescent="0.2">
      <c r="A88" s="1" t="s">
        <v>32</v>
      </c>
      <c r="B88" s="2">
        <v>1087</v>
      </c>
      <c r="C88">
        <v>2499</v>
      </c>
      <c r="D88" t="s">
        <v>12</v>
      </c>
      <c r="E88">
        <v>6.2</v>
      </c>
      <c r="F88">
        <v>9.1999999999999993</v>
      </c>
      <c r="G88" s="6">
        <f>F88-E88</f>
        <v>2.9999999999999991</v>
      </c>
      <c r="H88">
        <f>IF(G88&lt;=50,F88*0.1, F88*0.2)</f>
        <v>0.91999999999999993</v>
      </c>
      <c r="I88" s="5" t="s">
        <v>36</v>
      </c>
      <c r="J88" s="5" t="s">
        <v>37</v>
      </c>
      <c r="K88" t="s">
        <v>18</v>
      </c>
    </row>
    <row r="89" spans="1:11" x14ac:dyDescent="0.2">
      <c r="A89" s="1" t="s">
        <v>32</v>
      </c>
      <c r="B89" s="2">
        <v>1088</v>
      </c>
      <c r="C89">
        <v>2499</v>
      </c>
      <c r="D89" t="s">
        <v>12</v>
      </c>
      <c r="E89">
        <v>6.2</v>
      </c>
      <c r="F89">
        <v>9.1999999999999993</v>
      </c>
      <c r="G89" s="6">
        <f>F89-E89</f>
        <v>2.9999999999999991</v>
      </c>
      <c r="H89">
        <f>IF(G89&lt;=50,F89*0.1, F89*0.2)</f>
        <v>0.91999999999999993</v>
      </c>
      <c r="I89" s="5" t="s">
        <v>36</v>
      </c>
      <c r="J89" s="5" t="s">
        <v>37</v>
      </c>
      <c r="K89" t="s">
        <v>19</v>
      </c>
    </row>
    <row r="90" spans="1:11" x14ac:dyDescent="0.2">
      <c r="A90" s="1" t="s">
        <v>32</v>
      </c>
      <c r="B90" s="2">
        <v>1089</v>
      </c>
      <c r="C90">
        <v>6119</v>
      </c>
      <c r="D90" t="s">
        <v>13</v>
      </c>
      <c r="E90">
        <v>9</v>
      </c>
      <c r="F90">
        <v>14</v>
      </c>
      <c r="G90" s="6">
        <f>F90-E90</f>
        <v>5</v>
      </c>
      <c r="H90">
        <f>IF(G90&lt;=50,F90*0.1, F90*0.2)</f>
        <v>1.4000000000000001</v>
      </c>
      <c r="I90" s="5" t="s">
        <v>40</v>
      </c>
      <c r="J90" s="5" t="s">
        <v>41</v>
      </c>
      <c r="K90" t="s">
        <v>17</v>
      </c>
    </row>
    <row r="91" spans="1:11" x14ac:dyDescent="0.2">
      <c r="A91" s="1" t="s">
        <v>32</v>
      </c>
      <c r="B91" s="2">
        <v>1090</v>
      </c>
      <c r="C91">
        <v>2877</v>
      </c>
      <c r="D91" t="s">
        <v>11</v>
      </c>
      <c r="E91">
        <v>11.4</v>
      </c>
      <c r="F91">
        <v>16.3</v>
      </c>
      <c r="G91" s="6">
        <f>F91-E91</f>
        <v>4.9000000000000004</v>
      </c>
      <c r="H91">
        <f>IF(G91&lt;=50,F91*0.1, F91*0.2)</f>
        <v>1.6300000000000001</v>
      </c>
      <c r="I91" s="5" t="s">
        <v>36</v>
      </c>
      <c r="J91" s="5" t="s">
        <v>37</v>
      </c>
      <c r="K91" t="s">
        <v>18</v>
      </c>
    </row>
    <row r="92" spans="1:11" x14ac:dyDescent="0.2">
      <c r="A92" s="1" t="s">
        <v>32</v>
      </c>
      <c r="B92" s="2">
        <v>1091</v>
      </c>
      <c r="C92">
        <v>2877</v>
      </c>
      <c r="D92" t="s">
        <v>11</v>
      </c>
      <c r="E92">
        <v>11.4</v>
      </c>
      <c r="F92">
        <v>16.3</v>
      </c>
      <c r="G92" s="6">
        <f>F92-E92</f>
        <v>4.9000000000000004</v>
      </c>
      <c r="H92">
        <f>IF(G92&lt;=50,F92*0.1, F92*0.2)</f>
        <v>1.6300000000000001</v>
      </c>
      <c r="I92" s="5" t="s">
        <v>42</v>
      </c>
      <c r="J92" s="5" t="s">
        <v>43</v>
      </c>
      <c r="K92" t="s">
        <v>17</v>
      </c>
    </row>
    <row r="93" spans="1:11" x14ac:dyDescent="0.2">
      <c r="A93" s="1" t="s">
        <v>32</v>
      </c>
      <c r="B93" s="2">
        <v>1092</v>
      </c>
      <c r="C93">
        <v>2877</v>
      </c>
      <c r="D93" t="s">
        <v>11</v>
      </c>
      <c r="E93">
        <v>11.4</v>
      </c>
      <c r="F93">
        <v>16.3</v>
      </c>
      <c r="G93" s="6">
        <f>F93-E93</f>
        <v>4.9000000000000004</v>
      </c>
      <c r="H93">
        <f>IF(G93&lt;=50,F93*0.1, F93*0.2)</f>
        <v>1.6300000000000001</v>
      </c>
      <c r="I93" s="5" t="s">
        <v>40</v>
      </c>
      <c r="J93" s="5" t="s">
        <v>41</v>
      </c>
      <c r="K93" t="s">
        <v>18</v>
      </c>
    </row>
    <row r="94" spans="1:11" x14ac:dyDescent="0.2">
      <c r="A94" s="1" t="s">
        <v>32</v>
      </c>
      <c r="B94" s="2">
        <v>1093</v>
      </c>
      <c r="C94">
        <v>6119</v>
      </c>
      <c r="D94" t="s">
        <v>13</v>
      </c>
      <c r="E94">
        <v>9</v>
      </c>
      <c r="F94">
        <v>14</v>
      </c>
      <c r="G94" s="6">
        <f>F94-E94</f>
        <v>5</v>
      </c>
      <c r="H94">
        <f>IF(G94&lt;=50,F94*0.1, F94*0.2)</f>
        <v>1.4000000000000001</v>
      </c>
      <c r="I94" s="5" t="s">
        <v>38</v>
      </c>
      <c r="J94" s="5" t="s">
        <v>39</v>
      </c>
      <c r="K94" t="s">
        <v>16</v>
      </c>
    </row>
    <row r="95" spans="1:11" x14ac:dyDescent="0.2">
      <c r="A95" s="1" t="s">
        <v>32</v>
      </c>
      <c r="B95" s="2">
        <v>1094</v>
      </c>
      <c r="C95">
        <v>6119</v>
      </c>
      <c r="D95" t="s">
        <v>13</v>
      </c>
      <c r="E95">
        <v>9</v>
      </c>
      <c r="F95">
        <v>14</v>
      </c>
      <c r="G95" s="6">
        <f>F95-E95</f>
        <v>5</v>
      </c>
      <c r="H95">
        <f>IF(G95&lt;=50,F95*0.1, F95*0.2)</f>
        <v>1.4000000000000001</v>
      </c>
      <c r="I95" s="5" t="s">
        <v>40</v>
      </c>
      <c r="J95" s="5" t="s">
        <v>41</v>
      </c>
      <c r="K95" t="s">
        <v>18</v>
      </c>
    </row>
    <row r="96" spans="1:11" x14ac:dyDescent="0.2">
      <c r="A96" s="1" t="s">
        <v>32</v>
      </c>
      <c r="B96" s="2">
        <v>1095</v>
      </c>
      <c r="C96">
        <v>2499</v>
      </c>
      <c r="D96" t="s">
        <v>12</v>
      </c>
      <c r="E96">
        <v>6.2</v>
      </c>
      <c r="F96">
        <v>9.1999999999999993</v>
      </c>
      <c r="G96" s="6">
        <f>F96-E96</f>
        <v>2.9999999999999991</v>
      </c>
      <c r="H96">
        <f>IF(G96&lt;=50,F96*0.1, F96*0.2)</f>
        <v>0.91999999999999993</v>
      </c>
      <c r="I96" s="5" t="s">
        <v>42</v>
      </c>
      <c r="J96" s="5" t="s">
        <v>43</v>
      </c>
      <c r="K96" t="s">
        <v>16</v>
      </c>
    </row>
    <row r="97" spans="1:11" x14ac:dyDescent="0.2">
      <c r="A97" s="1" t="s">
        <v>32</v>
      </c>
      <c r="B97" s="2">
        <v>1096</v>
      </c>
      <c r="C97">
        <v>6119</v>
      </c>
      <c r="D97" t="s">
        <v>13</v>
      </c>
      <c r="E97">
        <v>9</v>
      </c>
      <c r="F97">
        <v>14</v>
      </c>
      <c r="G97" s="6">
        <f>F97-E97</f>
        <v>5</v>
      </c>
      <c r="H97">
        <f>IF(G97&lt;=50,F97*0.1, F97*0.2)</f>
        <v>1.4000000000000001</v>
      </c>
      <c r="I97" s="5" t="s">
        <v>40</v>
      </c>
      <c r="J97" s="5" t="s">
        <v>41</v>
      </c>
      <c r="K97" t="s">
        <v>16</v>
      </c>
    </row>
    <row r="98" spans="1:11" x14ac:dyDescent="0.2">
      <c r="A98" s="1" t="s">
        <v>32</v>
      </c>
      <c r="B98" s="2">
        <v>1097</v>
      </c>
      <c r="C98">
        <v>9212</v>
      </c>
      <c r="D98" t="s">
        <v>10</v>
      </c>
      <c r="E98">
        <v>4</v>
      </c>
      <c r="F98">
        <v>7</v>
      </c>
      <c r="G98" s="6">
        <f>F98-E98</f>
        <v>3</v>
      </c>
      <c r="H98">
        <f>IF(G98&lt;=50,F98*0.1, F98*0.2)</f>
        <v>0.70000000000000007</v>
      </c>
      <c r="I98" s="5" t="s">
        <v>42</v>
      </c>
      <c r="J98" s="5" t="s">
        <v>43</v>
      </c>
      <c r="K98" t="s">
        <v>17</v>
      </c>
    </row>
    <row r="99" spans="1:11" x14ac:dyDescent="0.2">
      <c r="A99" s="1" t="s">
        <v>32</v>
      </c>
      <c r="B99" s="2">
        <v>1098</v>
      </c>
      <c r="C99">
        <v>2877</v>
      </c>
      <c r="D99" t="s">
        <v>11</v>
      </c>
      <c r="E99">
        <v>11.4</v>
      </c>
      <c r="F99">
        <v>16.3</v>
      </c>
      <c r="G99" s="6">
        <f>F99-E99</f>
        <v>4.9000000000000004</v>
      </c>
      <c r="H99">
        <f>IF(G99&lt;=50,F99*0.1, F99*0.2)</f>
        <v>1.6300000000000001</v>
      </c>
      <c r="I99" s="5" t="s">
        <v>38</v>
      </c>
      <c r="J99" s="5" t="s">
        <v>39</v>
      </c>
      <c r="K99" t="s">
        <v>19</v>
      </c>
    </row>
    <row r="100" spans="1:11" x14ac:dyDescent="0.2">
      <c r="A100" s="1" t="s">
        <v>33</v>
      </c>
      <c r="B100" s="2">
        <v>1099</v>
      </c>
      <c r="C100">
        <v>2877</v>
      </c>
      <c r="D100" t="s">
        <v>11</v>
      </c>
      <c r="E100">
        <v>11.4</v>
      </c>
      <c r="F100">
        <v>16.3</v>
      </c>
      <c r="G100" s="6">
        <f>F100-E100</f>
        <v>4.9000000000000004</v>
      </c>
      <c r="H100">
        <f>IF(G100&lt;=50,F100*0.1, F100*0.2)</f>
        <v>1.6300000000000001</v>
      </c>
      <c r="I100" s="5" t="s">
        <v>40</v>
      </c>
      <c r="J100" s="5" t="s">
        <v>41</v>
      </c>
      <c r="K100" t="s">
        <v>18</v>
      </c>
    </row>
    <row r="101" spans="1:11" x14ac:dyDescent="0.2">
      <c r="A101" s="1" t="s">
        <v>33</v>
      </c>
      <c r="B101" s="2">
        <v>1100</v>
      </c>
      <c r="C101">
        <v>6119</v>
      </c>
      <c r="D101" t="s">
        <v>13</v>
      </c>
      <c r="E101">
        <v>9</v>
      </c>
      <c r="F101">
        <v>14</v>
      </c>
      <c r="G101" s="6">
        <f>F101-E101</f>
        <v>5</v>
      </c>
      <c r="H101">
        <f>IF(G101&lt;=50,F101*0.1, F101*0.2)</f>
        <v>1.4000000000000001</v>
      </c>
      <c r="I101" s="5" t="s">
        <v>36</v>
      </c>
      <c r="J101" s="5" t="s">
        <v>37</v>
      </c>
      <c r="K101" t="s">
        <v>21</v>
      </c>
    </row>
    <row r="102" spans="1:11" x14ac:dyDescent="0.2">
      <c r="A102" s="1" t="s">
        <v>33</v>
      </c>
      <c r="B102" s="2">
        <v>1101</v>
      </c>
      <c r="C102">
        <v>2499</v>
      </c>
      <c r="D102" t="s">
        <v>12</v>
      </c>
      <c r="E102">
        <v>6.2</v>
      </c>
      <c r="F102">
        <v>9.1999999999999993</v>
      </c>
      <c r="G102" s="6">
        <f>F102-E102</f>
        <v>2.9999999999999991</v>
      </c>
      <c r="H102">
        <f>IF(G102&lt;=50,F102*0.1, F102*0.2)</f>
        <v>0.91999999999999993</v>
      </c>
      <c r="I102" s="5" t="s">
        <v>40</v>
      </c>
      <c r="J102" s="5" t="s">
        <v>41</v>
      </c>
      <c r="K102" t="s">
        <v>18</v>
      </c>
    </row>
    <row r="103" spans="1:11" x14ac:dyDescent="0.2">
      <c r="A103" s="1" t="s">
        <v>33</v>
      </c>
      <c r="B103" s="2">
        <v>1102</v>
      </c>
      <c r="C103">
        <v>2242</v>
      </c>
      <c r="D103" t="s">
        <v>8</v>
      </c>
      <c r="E103">
        <v>60</v>
      </c>
      <c r="F103">
        <v>124</v>
      </c>
      <c r="G103" s="6">
        <f>F103-E103</f>
        <v>64</v>
      </c>
      <c r="H103">
        <f>IF(G103&lt;=50,F103*0.1, F103*0.2)</f>
        <v>24.8</v>
      </c>
      <c r="I103" s="5" t="s">
        <v>38</v>
      </c>
      <c r="J103" s="5" t="s">
        <v>39</v>
      </c>
      <c r="K103" t="s">
        <v>17</v>
      </c>
    </row>
    <row r="104" spans="1:11" x14ac:dyDescent="0.2">
      <c r="A104" s="1" t="s">
        <v>33</v>
      </c>
      <c r="B104" s="2">
        <v>1103</v>
      </c>
      <c r="C104">
        <v>2877</v>
      </c>
      <c r="D104" t="s">
        <v>11</v>
      </c>
      <c r="E104">
        <v>11.4</v>
      </c>
      <c r="F104">
        <v>16.3</v>
      </c>
      <c r="G104" s="6">
        <f>F104-E104</f>
        <v>4.9000000000000004</v>
      </c>
      <c r="H104">
        <f>IF(G104&lt;=50,F104*0.1, F104*0.2)</f>
        <v>1.6300000000000001</v>
      </c>
      <c r="I104" s="5" t="s">
        <v>38</v>
      </c>
      <c r="J104" s="5" t="s">
        <v>39</v>
      </c>
      <c r="K104" t="s">
        <v>16</v>
      </c>
    </row>
    <row r="105" spans="1:11" x14ac:dyDescent="0.2">
      <c r="A105" s="1" t="s">
        <v>33</v>
      </c>
      <c r="B105" s="2">
        <v>1104</v>
      </c>
      <c r="C105">
        <v>2877</v>
      </c>
      <c r="D105" t="s">
        <v>11</v>
      </c>
      <c r="E105">
        <v>11.4</v>
      </c>
      <c r="F105">
        <v>16.3</v>
      </c>
      <c r="G105" s="6">
        <f>F105-E105</f>
        <v>4.9000000000000004</v>
      </c>
      <c r="H105">
        <f>IF(G105&lt;=50,F105*0.1, F105*0.2)</f>
        <v>1.6300000000000001</v>
      </c>
      <c r="I105" s="5" t="s">
        <v>40</v>
      </c>
      <c r="J105" s="5" t="s">
        <v>41</v>
      </c>
      <c r="K105" t="s">
        <v>17</v>
      </c>
    </row>
    <row r="106" spans="1:11" x14ac:dyDescent="0.2">
      <c r="A106" s="1" t="s">
        <v>33</v>
      </c>
      <c r="B106" s="2">
        <v>1105</v>
      </c>
      <c r="C106">
        <v>2499</v>
      </c>
      <c r="D106" t="s">
        <v>12</v>
      </c>
      <c r="E106">
        <v>6.2</v>
      </c>
      <c r="F106">
        <v>9.1999999999999993</v>
      </c>
      <c r="G106" s="6">
        <f>F106-E106</f>
        <v>2.9999999999999991</v>
      </c>
      <c r="H106">
        <f>IF(G106&lt;=50,F106*0.1, F106*0.2)</f>
        <v>0.91999999999999993</v>
      </c>
      <c r="I106" s="5" t="s">
        <v>38</v>
      </c>
      <c r="J106" s="5" t="s">
        <v>39</v>
      </c>
      <c r="K106" t="s">
        <v>16</v>
      </c>
    </row>
    <row r="107" spans="1:11" x14ac:dyDescent="0.2">
      <c r="A107" s="1" t="s">
        <v>33</v>
      </c>
      <c r="B107" s="2">
        <v>1106</v>
      </c>
      <c r="C107">
        <v>9822</v>
      </c>
      <c r="D107" t="s">
        <v>5</v>
      </c>
      <c r="E107">
        <v>58.3</v>
      </c>
      <c r="F107">
        <v>98.4</v>
      </c>
      <c r="G107" s="6">
        <f>F107-E107</f>
        <v>40.100000000000009</v>
      </c>
      <c r="H107">
        <f>IF(G107&lt;=50,F107*0.1, F107*0.2)</f>
        <v>9.8400000000000016</v>
      </c>
      <c r="I107" s="5" t="s">
        <v>38</v>
      </c>
      <c r="J107" s="5" t="s">
        <v>39</v>
      </c>
      <c r="K107" t="s">
        <v>18</v>
      </c>
    </row>
    <row r="108" spans="1:11" x14ac:dyDescent="0.2">
      <c r="A108" s="1" t="s">
        <v>33</v>
      </c>
      <c r="B108" s="2">
        <v>1107</v>
      </c>
      <c r="C108">
        <v>1109</v>
      </c>
      <c r="D108" t="s">
        <v>14</v>
      </c>
      <c r="E108">
        <v>3</v>
      </c>
      <c r="F108">
        <v>8</v>
      </c>
      <c r="G108" s="6">
        <f>F108-E108</f>
        <v>5</v>
      </c>
      <c r="H108">
        <f>IF(G108&lt;=50,F108*0.1, F108*0.2)</f>
        <v>0.8</v>
      </c>
      <c r="I108" s="5" t="s">
        <v>42</v>
      </c>
      <c r="J108" s="5" t="s">
        <v>43</v>
      </c>
      <c r="K108" t="s">
        <v>19</v>
      </c>
    </row>
    <row r="109" spans="1:11" x14ac:dyDescent="0.2">
      <c r="A109" s="1" t="s">
        <v>33</v>
      </c>
      <c r="B109" s="2">
        <v>1108</v>
      </c>
      <c r="C109">
        <v>9822</v>
      </c>
      <c r="D109" t="s">
        <v>5</v>
      </c>
      <c r="E109">
        <v>58.3</v>
      </c>
      <c r="F109">
        <v>98.4</v>
      </c>
      <c r="G109" s="6">
        <f>F109-E109</f>
        <v>40.100000000000009</v>
      </c>
      <c r="H109">
        <f>IF(G109&lt;=50,F109*0.1, F109*0.2)</f>
        <v>9.8400000000000016</v>
      </c>
      <c r="I109" s="5" t="s">
        <v>40</v>
      </c>
      <c r="J109" s="5" t="s">
        <v>41</v>
      </c>
      <c r="K109" t="s">
        <v>17</v>
      </c>
    </row>
    <row r="110" spans="1:11" x14ac:dyDescent="0.2">
      <c r="A110" s="1" t="s">
        <v>33</v>
      </c>
      <c r="B110" s="2">
        <v>1109</v>
      </c>
      <c r="C110">
        <v>8722</v>
      </c>
      <c r="D110" t="s">
        <v>6</v>
      </c>
      <c r="E110">
        <v>344</v>
      </c>
      <c r="F110">
        <v>502</v>
      </c>
      <c r="G110" s="6">
        <f>F110-E110</f>
        <v>158</v>
      </c>
      <c r="H110">
        <f>IF(G110&lt;=50,F110*0.1, F110*0.2)</f>
        <v>100.4</v>
      </c>
      <c r="I110" s="5" t="s">
        <v>38</v>
      </c>
      <c r="J110" s="5" t="s">
        <v>39</v>
      </c>
      <c r="K110" t="s">
        <v>18</v>
      </c>
    </row>
    <row r="111" spans="1:11" x14ac:dyDescent="0.2">
      <c r="A111" s="1" t="s">
        <v>33</v>
      </c>
      <c r="B111" s="2">
        <v>1110</v>
      </c>
      <c r="C111">
        <v>8722</v>
      </c>
      <c r="D111" t="s">
        <v>6</v>
      </c>
      <c r="E111">
        <v>344</v>
      </c>
      <c r="F111">
        <v>502</v>
      </c>
      <c r="G111" s="6">
        <f>F111-E111</f>
        <v>158</v>
      </c>
      <c r="H111">
        <f>IF(G111&lt;=50,F111*0.1, F111*0.2)</f>
        <v>100.4</v>
      </c>
      <c r="I111" s="5" t="s">
        <v>42</v>
      </c>
      <c r="J111" s="5" t="s">
        <v>43</v>
      </c>
      <c r="K111" t="s">
        <v>17</v>
      </c>
    </row>
    <row r="112" spans="1:11" x14ac:dyDescent="0.2">
      <c r="A112" s="1" t="s">
        <v>33</v>
      </c>
      <c r="B112" s="2">
        <v>1111</v>
      </c>
      <c r="C112">
        <v>6622</v>
      </c>
      <c r="D112" t="s">
        <v>7</v>
      </c>
      <c r="E112">
        <v>42</v>
      </c>
      <c r="F112">
        <v>77</v>
      </c>
      <c r="G112" s="6">
        <f>F112-E112</f>
        <v>35</v>
      </c>
      <c r="H112">
        <f>IF(G112&lt;=50,F112*0.1, F112*0.2)</f>
        <v>7.7</v>
      </c>
      <c r="I112" s="5" t="s">
        <v>42</v>
      </c>
      <c r="J112" s="5" t="s">
        <v>43</v>
      </c>
      <c r="K112" t="s">
        <v>18</v>
      </c>
    </row>
    <row r="113" spans="1:11" x14ac:dyDescent="0.2">
      <c r="A113" s="1" t="s">
        <v>33</v>
      </c>
      <c r="B113" s="2">
        <v>1112</v>
      </c>
      <c r="C113">
        <v>6622</v>
      </c>
      <c r="D113" t="s">
        <v>7</v>
      </c>
      <c r="E113">
        <v>42</v>
      </c>
      <c r="F113">
        <v>77</v>
      </c>
      <c r="G113" s="6">
        <f>F113-E113</f>
        <v>35</v>
      </c>
      <c r="H113">
        <f>IF(G113&lt;=50,F113*0.1, F113*0.2)</f>
        <v>7.7</v>
      </c>
      <c r="I113" s="5" t="s">
        <v>40</v>
      </c>
      <c r="J113" s="5" t="s">
        <v>41</v>
      </c>
      <c r="K113" t="s">
        <v>16</v>
      </c>
    </row>
    <row r="114" spans="1:11" x14ac:dyDescent="0.2">
      <c r="A114" s="1" t="s">
        <v>33</v>
      </c>
      <c r="B114" s="2">
        <v>1113</v>
      </c>
      <c r="C114">
        <v>9822</v>
      </c>
      <c r="D114" t="s">
        <v>5</v>
      </c>
      <c r="E114">
        <v>58.3</v>
      </c>
      <c r="F114">
        <v>98.4</v>
      </c>
      <c r="G114" s="6">
        <f>F114-E114</f>
        <v>40.100000000000009</v>
      </c>
      <c r="H114">
        <f>IF(G114&lt;=50,F114*0.1, F114*0.2)</f>
        <v>9.8400000000000016</v>
      </c>
      <c r="I114" s="5" t="s">
        <v>36</v>
      </c>
      <c r="J114" s="5" t="s">
        <v>37</v>
      </c>
      <c r="K114" t="s">
        <v>18</v>
      </c>
    </row>
    <row r="115" spans="1:11" x14ac:dyDescent="0.2">
      <c r="A115" s="1" t="s">
        <v>33</v>
      </c>
      <c r="B115" s="2">
        <v>1114</v>
      </c>
      <c r="C115">
        <v>2242</v>
      </c>
      <c r="D115" t="s">
        <v>8</v>
      </c>
      <c r="E115">
        <v>60</v>
      </c>
      <c r="F115">
        <v>124</v>
      </c>
      <c r="G115" s="6">
        <f>F115-E115</f>
        <v>64</v>
      </c>
      <c r="H115">
        <f>IF(G115&lt;=50,F115*0.1, F115*0.2)</f>
        <v>24.8</v>
      </c>
      <c r="I115" s="5" t="s">
        <v>38</v>
      </c>
      <c r="J115" s="5" t="s">
        <v>39</v>
      </c>
      <c r="K115" t="s">
        <v>16</v>
      </c>
    </row>
    <row r="116" spans="1:11" x14ac:dyDescent="0.2">
      <c r="A116" s="1" t="s">
        <v>33</v>
      </c>
      <c r="B116" s="2">
        <v>1115</v>
      </c>
      <c r="C116">
        <v>8722</v>
      </c>
      <c r="D116" t="s">
        <v>6</v>
      </c>
      <c r="E116">
        <v>344</v>
      </c>
      <c r="F116">
        <v>502</v>
      </c>
      <c r="G116" s="6">
        <f>F116-E116</f>
        <v>158</v>
      </c>
      <c r="H116">
        <f>IF(G116&lt;=50,F116*0.1, F116*0.2)</f>
        <v>100.4</v>
      </c>
      <c r="I116" s="5" t="s">
        <v>36</v>
      </c>
      <c r="J116" s="5" t="s">
        <v>37</v>
      </c>
      <c r="K116" t="s">
        <v>16</v>
      </c>
    </row>
    <row r="117" spans="1:11" x14ac:dyDescent="0.2">
      <c r="A117" s="1" t="s">
        <v>33</v>
      </c>
      <c r="B117" s="2">
        <v>1116</v>
      </c>
      <c r="C117">
        <v>6622</v>
      </c>
      <c r="D117" t="s">
        <v>7</v>
      </c>
      <c r="E117">
        <v>42</v>
      </c>
      <c r="F117">
        <v>77</v>
      </c>
      <c r="G117" s="6">
        <f>F117-E117</f>
        <v>35</v>
      </c>
      <c r="H117">
        <f>IF(G117&lt;=50,F117*0.1, F117*0.2)</f>
        <v>7.7</v>
      </c>
      <c r="I117" s="5" t="s">
        <v>40</v>
      </c>
      <c r="J117" s="5" t="s">
        <v>41</v>
      </c>
      <c r="K117" t="s">
        <v>17</v>
      </c>
    </row>
    <row r="118" spans="1:11" x14ac:dyDescent="0.2">
      <c r="A118" s="1" t="s">
        <v>33</v>
      </c>
      <c r="B118" s="2">
        <v>1117</v>
      </c>
      <c r="C118">
        <v>8722</v>
      </c>
      <c r="D118" t="s">
        <v>6</v>
      </c>
      <c r="E118">
        <v>344</v>
      </c>
      <c r="F118">
        <v>502</v>
      </c>
      <c r="G118" s="6">
        <f>F118-E118</f>
        <v>158</v>
      </c>
      <c r="H118">
        <f>IF(G118&lt;=50,F118*0.1, F118*0.2)</f>
        <v>100.4</v>
      </c>
      <c r="I118" s="5" t="s">
        <v>42</v>
      </c>
      <c r="J118" s="5" t="s">
        <v>43</v>
      </c>
      <c r="K118" t="s">
        <v>19</v>
      </c>
    </row>
    <row r="119" spans="1:11" x14ac:dyDescent="0.2">
      <c r="A119" s="1" t="s">
        <v>33</v>
      </c>
      <c r="B119" s="2">
        <v>1118</v>
      </c>
      <c r="C119">
        <v>9822</v>
      </c>
      <c r="D119" t="s">
        <v>5</v>
      </c>
      <c r="E119">
        <v>58.3</v>
      </c>
      <c r="F119">
        <v>98.4</v>
      </c>
      <c r="G119" s="6">
        <f>F119-E119</f>
        <v>40.100000000000009</v>
      </c>
      <c r="H119">
        <f>IF(G119&lt;=50,F119*0.1, F119*0.2)</f>
        <v>9.8400000000000016</v>
      </c>
      <c r="I119" s="5" t="s">
        <v>38</v>
      </c>
      <c r="J119" s="5" t="s">
        <v>39</v>
      </c>
      <c r="K119" t="s">
        <v>18</v>
      </c>
    </row>
    <row r="120" spans="1:11" x14ac:dyDescent="0.2">
      <c r="A120" s="1" t="s">
        <v>33</v>
      </c>
      <c r="B120" s="2">
        <v>1119</v>
      </c>
      <c r="C120">
        <v>2242</v>
      </c>
      <c r="D120" t="s">
        <v>8</v>
      </c>
      <c r="E120">
        <v>60</v>
      </c>
      <c r="F120">
        <v>124</v>
      </c>
      <c r="G120" s="6">
        <f>F120-E120</f>
        <v>64</v>
      </c>
      <c r="H120">
        <f>IF(G120&lt;=50,F120*0.1, F120*0.2)</f>
        <v>24.8</v>
      </c>
      <c r="I120" s="5" t="s">
        <v>36</v>
      </c>
      <c r="J120" s="5" t="s">
        <v>37</v>
      </c>
      <c r="K120" t="s">
        <v>21</v>
      </c>
    </row>
    <row r="121" spans="1:11" x14ac:dyDescent="0.2">
      <c r="A121" s="1" t="s">
        <v>33</v>
      </c>
      <c r="B121" s="2">
        <v>1120</v>
      </c>
      <c r="C121">
        <v>2242</v>
      </c>
      <c r="D121" t="s">
        <v>8</v>
      </c>
      <c r="E121">
        <v>60</v>
      </c>
      <c r="F121">
        <v>124</v>
      </c>
      <c r="G121" s="6">
        <f>F121-E121</f>
        <v>64</v>
      </c>
      <c r="H121">
        <f>IF(G121&lt;=50,F121*0.1, F121*0.2)</f>
        <v>24.8</v>
      </c>
      <c r="I121" s="5" t="s">
        <v>40</v>
      </c>
      <c r="J121" s="5" t="s">
        <v>41</v>
      </c>
      <c r="K121" t="s">
        <v>18</v>
      </c>
    </row>
    <row r="122" spans="1:11" x14ac:dyDescent="0.2">
      <c r="A122" s="1" t="s">
        <v>33</v>
      </c>
      <c r="B122" s="2">
        <v>1121</v>
      </c>
      <c r="C122">
        <v>4421</v>
      </c>
      <c r="D122" t="s">
        <v>9</v>
      </c>
      <c r="E122">
        <v>45</v>
      </c>
      <c r="F122">
        <v>87</v>
      </c>
      <c r="G122" s="6">
        <f>F122-E122</f>
        <v>42</v>
      </c>
      <c r="H122">
        <f>IF(G122&lt;=50,F122*0.1, F122*0.2)</f>
        <v>8.7000000000000011</v>
      </c>
      <c r="I122" s="5" t="s">
        <v>40</v>
      </c>
      <c r="J122" s="5" t="s">
        <v>41</v>
      </c>
      <c r="K122" t="s">
        <v>17</v>
      </c>
    </row>
    <row r="123" spans="1:11" x14ac:dyDescent="0.2">
      <c r="A123" s="1" t="s">
        <v>33</v>
      </c>
      <c r="B123" s="2">
        <v>1122</v>
      </c>
      <c r="C123">
        <v>8722</v>
      </c>
      <c r="D123" t="s">
        <v>6</v>
      </c>
      <c r="E123">
        <v>344</v>
      </c>
      <c r="F123">
        <v>502</v>
      </c>
      <c r="G123" s="6">
        <f>F123-E123</f>
        <v>158</v>
      </c>
      <c r="H123">
        <f>IF(G123&lt;=50,F123*0.1, F123*0.2)</f>
        <v>100.4</v>
      </c>
      <c r="I123" s="5" t="s">
        <v>40</v>
      </c>
      <c r="J123" s="5" t="s">
        <v>41</v>
      </c>
      <c r="K123" t="s">
        <v>16</v>
      </c>
    </row>
    <row r="124" spans="1:11" x14ac:dyDescent="0.2">
      <c r="A124" s="1" t="s">
        <v>33</v>
      </c>
      <c r="B124" s="2">
        <v>1123</v>
      </c>
      <c r="C124">
        <v>9822</v>
      </c>
      <c r="D124" t="s">
        <v>5</v>
      </c>
      <c r="E124">
        <v>58.3</v>
      </c>
      <c r="F124">
        <v>98.4</v>
      </c>
      <c r="G124" s="6">
        <f>F124-E124</f>
        <v>40.100000000000009</v>
      </c>
      <c r="H124">
        <f>IF(G124&lt;=50,F124*0.1, F124*0.2)</f>
        <v>9.8400000000000016</v>
      </c>
      <c r="I124" s="5" t="s">
        <v>40</v>
      </c>
      <c r="J124" s="5" t="s">
        <v>41</v>
      </c>
      <c r="K124" t="s">
        <v>17</v>
      </c>
    </row>
    <row r="125" spans="1:11" x14ac:dyDescent="0.2">
      <c r="A125" s="1" t="s">
        <v>33</v>
      </c>
      <c r="B125" s="2">
        <v>1124</v>
      </c>
      <c r="C125">
        <v>4421</v>
      </c>
      <c r="D125" t="s">
        <v>9</v>
      </c>
      <c r="E125">
        <v>45</v>
      </c>
      <c r="F125">
        <v>87</v>
      </c>
      <c r="G125" s="6">
        <f>F125-E125</f>
        <v>42</v>
      </c>
      <c r="H125">
        <f>IF(G125&lt;=50,F125*0.1, F125*0.2)</f>
        <v>8.7000000000000011</v>
      </c>
      <c r="I125" s="5" t="s">
        <v>40</v>
      </c>
      <c r="J125" s="5" t="s">
        <v>41</v>
      </c>
      <c r="K125" t="s">
        <v>16</v>
      </c>
    </row>
    <row r="126" spans="1:11" x14ac:dyDescent="0.2">
      <c r="A126" s="1" t="s">
        <v>27</v>
      </c>
      <c r="B126" s="2">
        <v>1125</v>
      </c>
      <c r="C126">
        <v>2242</v>
      </c>
      <c r="D126" t="s">
        <v>8</v>
      </c>
      <c r="E126">
        <v>60</v>
      </c>
      <c r="F126">
        <v>124</v>
      </c>
      <c r="G126" s="6">
        <f>F126-E126</f>
        <v>64</v>
      </c>
      <c r="H126">
        <f>IF(G126&lt;=50,F126*0.1, F126*0.2)</f>
        <v>24.8</v>
      </c>
      <c r="I126" s="5" t="s">
        <v>40</v>
      </c>
      <c r="J126" s="5" t="s">
        <v>41</v>
      </c>
      <c r="K126" t="s">
        <v>18</v>
      </c>
    </row>
    <row r="127" spans="1:11" x14ac:dyDescent="0.2">
      <c r="A127" s="1" t="s">
        <v>27</v>
      </c>
      <c r="B127" s="2">
        <v>1126</v>
      </c>
      <c r="C127">
        <v>9212</v>
      </c>
      <c r="D127" t="s">
        <v>10</v>
      </c>
      <c r="E127">
        <v>4</v>
      </c>
      <c r="F127">
        <v>7</v>
      </c>
      <c r="G127" s="6">
        <f>F127-E127</f>
        <v>3</v>
      </c>
      <c r="H127">
        <f>IF(G127&lt;=50,F127*0.1, F127*0.2)</f>
        <v>0.70000000000000007</v>
      </c>
      <c r="I127" s="5" t="s">
        <v>40</v>
      </c>
      <c r="J127" s="5" t="s">
        <v>41</v>
      </c>
      <c r="K127" t="s">
        <v>19</v>
      </c>
    </row>
    <row r="128" spans="1:11" x14ac:dyDescent="0.2">
      <c r="A128" s="1" t="s">
        <v>27</v>
      </c>
      <c r="B128" s="2">
        <v>1127</v>
      </c>
      <c r="C128">
        <v>8722</v>
      </c>
      <c r="D128" t="s">
        <v>6</v>
      </c>
      <c r="E128">
        <v>344</v>
      </c>
      <c r="F128">
        <v>502</v>
      </c>
      <c r="G128" s="6">
        <f>F128-E128</f>
        <v>158</v>
      </c>
      <c r="H128">
        <f>IF(G128&lt;=50,F128*0.1, F128*0.2)</f>
        <v>100.4</v>
      </c>
      <c r="I128" s="5" t="s">
        <v>36</v>
      </c>
      <c r="J128" s="5" t="s">
        <v>37</v>
      </c>
      <c r="K128" t="s">
        <v>17</v>
      </c>
    </row>
    <row r="129" spans="1:11" x14ac:dyDescent="0.2">
      <c r="A129" s="1" t="s">
        <v>27</v>
      </c>
      <c r="B129" s="2">
        <v>1128</v>
      </c>
      <c r="C129">
        <v>6622</v>
      </c>
      <c r="D129" t="s">
        <v>7</v>
      </c>
      <c r="E129">
        <v>42</v>
      </c>
      <c r="F129">
        <v>77</v>
      </c>
      <c r="G129" s="6">
        <f>F129-E129</f>
        <v>35</v>
      </c>
      <c r="H129">
        <f>IF(G129&lt;=50,F129*0.1, F129*0.2)</f>
        <v>7.7</v>
      </c>
      <c r="I129" s="5" t="s">
        <v>38</v>
      </c>
      <c r="J129" s="5" t="s">
        <v>39</v>
      </c>
      <c r="K129" t="s">
        <v>18</v>
      </c>
    </row>
    <row r="130" spans="1:11" x14ac:dyDescent="0.2">
      <c r="A130" s="1" t="s">
        <v>27</v>
      </c>
      <c r="B130" s="2">
        <v>1129</v>
      </c>
      <c r="C130">
        <v>9822</v>
      </c>
      <c r="D130" t="s">
        <v>5</v>
      </c>
      <c r="E130">
        <v>58.3</v>
      </c>
      <c r="F130">
        <v>98.4</v>
      </c>
      <c r="G130" s="6">
        <f>F130-E130</f>
        <v>40.100000000000009</v>
      </c>
      <c r="H130">
        <f>IF(G130&lt;=50,F130*0.1, F130*0.2)</f>
        <v>9.8400000000000016</v>
      </c>
      <c r="I130" s="5" t="s">
        <v>42</v>
      </c>
      <c r="J130" s="5" t="s">
        <v>43</v>
      </c>
      <c r="K130" t="s">
        <v>17</v>
      </c>
    </row>
    <row r="131" spans="1:11" x14ac:dyDescent="0.2">
      <c r="A131" s="1" t="s">
        <v>27</v>
      </c>
      <c r="B131" s="2">
        <v>1130</v>
      </c>
      <c r="C131">
        <v>4421</v>
      </c>
      <c r="D131" t="s">
        <v>9</v>
      </c>
      <c r="E131">
        <v>45</v>
      </c>
      <c r="F131">
        <v>87</v>
      </c>
      <c r="G131" s="6">
        <f>F131-E131</f>
        <v>42</v>
      </c>
      <c r="H131">
        <f>IF(G131&lt;=50,F131*0.1, F131*0.2)</f>
        <v>8.7000000000000011</v>
      </c>
      <c r="I131" s="5" t="s">
        <v>42</v>
      </c>
      <c r="J131" s="5" t="s">
        <v>43</v>
      </c>
      <c r="K131" t="s">
        <v>18</v>
      </c>
    </row>
    <row r="132" spans="1:11" x14ac:dyDescent="0.2">
      <c r="A132" s="1" t="s">
        <v>27</v>
      </c>
      <c r="B132" s="2">
        <v>1131</v>
      </c>
      <c r="C132">
        <v>9212</v>
      </c>
      <c r="D132" t="s">
        <v>10</v>
      </c>
      <c r="E132">
        <v>4</v>
      </c>
      <c r="F132">
        <v>7</v>
      </c>
      <c r="G132" s="6">
        <f>F132-E132</f>
        <v>3</v>
      </c>
      <c r="H132">
        <f>IF(G132&lt;=50,F132*0.1, F132*0.2)</f>
        <v>0.70000000000000007</v>
      </c>
      <c r="I132" s="5" t="s">
        <v>42</v>
      </c>
      <c r="J132" s="5" t="s">
        <v>43</v>
      </c>
      <c r="K132" t="s">
        <v>16</v>
      </c>
    </row>
    <row r="133" spans="1:11" x14ac:dyDescent="0.2">
      <c r="A133" s="1" t="s">
        <v>27</v>
      </c>
      <c r="B133" s="2">
        <v>1132</v>
      </c>
      <c r="C133">
        <v>9212</v>
      </c>
      <c r="D133" t="s">
        <v>10</v>
      </c>
      <c r="E133">
        <v>4</v>
      </c>
      <c r="F133">
        <v>7</v>
      </c>
      <c r="G133" s="6">
        <f>F133-E133</f>
        <v>3</v>
      </c>
      <c r="H133">
        <f>IF(G133&lt;=50,F133*0.1, F133*0.2)</f>
        <v>0.70000000000000007</v>
      </c>
      <c r="I133" s="5" t="s">
        <v>42</v>
      </c>
      <c r="J133" s="5" t="s">
        <v>43</v>
      </c>
      <c r="K133" t="s">
        <v>18</v>
      </c>
    </row>
    <row r="134" spans="1:11" x14ac:dyDescent="0.2">
      <c r="A134" s="1" t="s">
        <v>27</v>
      </c>
      <c r="B134" s="2">
        <v>1133</v>
      </c>
      <c r="C134">
        <v>9822</v>
      </c>
      <c r="D134" t="s">
        <v>5</v>
      </c>
      <c r="E134">
        <v>58.3</v>
      </c>
      <c r="F134">
        <v>98.4</v>
      </c>
      <c r="G134" s="6">
        <f>F134-E134</f>
        <v>40.100000000000009</v>
      </c>
      <c r="H134">
        <f>IF(G134&lt;=50,F134*0.1, F134*0.2)</f>
        <v>9.8400000000000016</v>
      </c>
      <c r="I134" s="5" t="s">
        <v>36</v>
      </c>
      <c r="J134" s="5" t="s">
        <v>37</v>
      </c>
      <c r="K134" t="s">
        <v>16</v>
      </c>
    </row>
    <row r="135" spans="1:11" x14ac:dyDescent="0.2">
      <c r="A135" s="1" t="s">
        <v>27</v>
      </c>
      <c r="B135" s="2">
        <v>1134</v>
      </c>
      <c r="C135">
        <v>9822</v>
      </c>
      <c r="D135" t="s">
        <v>5</v>
      </c>
      <c r="E135">
        <v>58.3</v>
      </c>
      <c r="F135">
        <v>98.4</v>
      </c>
      <c r="G135" s="6">
        <f>F135-E135</f>
        <v>40.100000000000009</v>
      </c>
      <c r="H135">
        <f>IF(G135&lt;=50,F135*0.1, F135*0.2)</f>
        <v>9.8400000000000016</v>
      </c>
      <c r="I135" s="5" t="s">
        <v>40</v>
      </c>
      <c r="J135" s="5" t="s">
        <v>41</v>
      </c>
      <c r="K135" t="s">
        <v>16</v>
      </c>
    </row>
    <row r="136" spans="1:11" x14ac:dyDescent="0.2">
      <c r="A136" s="1" t="s">
        <v>27</v>
      </c>
      <c r="B136" s="2">
        <v>1135</v>
      </c>
      <c r="C136">
        <v>8722</v>
      </c>
      <c r="D136" t="s">
        <v>6</v>
      </c>
      <c r="E136">
        <v>344</v>
      </c>
      <c r="F136">
        <v>502</v>
      </c>
      <c r="G136" s="6">
        <f>F136-E136</f>
        <v>158</v>
      </c>
      <c r="H136">
        <f>IF(G136&lt;=50,F136*0.1, F136*0.2)</f>
        <v>100.4</v>
      </c>
      <c r="I136" s="5" t="s">
        <v>36</v>
      </c>
      <c r="J136" s="5" t="s">
        <v>37</v>
      </c>
      <c r="K136" t="s">
        <v>17</v>
      </c>
    </row>
    <row r="137" spans="1:11" x14ac:dyDescent="0.2">
      <c r="A137" s="1" t="s">
        <v>27</v>
      </c>
      <c r="B137" s="2">
        <v>1136</v>
      </c>
      <c r="C137">
        <v>2242</v>
      </c>
      <c r="D137" t="s">
        <v>8</v>
      </c>
      <c r="E137">
        <v>60</v>
      </c>
      <c r="F137">
        <v>124</v>
      </c>
      <c r="G137" s="6">
        <f>F137-E137</f>
        <v>64</v>
      </c>
      <c r="H137">
        <f>IF(G137&lt;=50,F137*0.1, F137*0.2)</f>
        <v>24.8</v>
      </c>
      <c r="I137" s="5" t="s">
        <v>40</v>
      </c>
      <c r="J137" s="5" t="s">
        <v>41</v>
      </c>
      <c r="K137" t="s">
        <v>19</v>
      </c>
    </row>
    <row r="138" spans="1:11" x14ac:dyDescent="0.2">
      <c r="A138" s="1" t="s">
        <v>27</v>
      </c>
      <c r="B138" s="2">
        <v>1137</v>
      </c>
      <c r="C138">
        <v>9822</v>
      </c>
      <c r="D138" t="s">
        <v>5</v>
      </c>
      <c r="E138">
        <v>58.3</v>
      </c>
      <c r="F138">
        <v>98.4</v>
      </c>
      <c r="G138" s="6">
        <f>F138-E138</f>
        <v>40.100000000000009</v>
      </c>
      <c r="H138">
        <f>IF(G138&lt;=50,F138*0.1, F138*0.2)</f>
        <v>9.8400000000000016</v>
      </c>
      <c r="I138" s="5" t="s">
        <v>38</v>
      </c>
      <c r="J138" s="5" t="s">
        <v>39</v>
      </c>
      <c r="K138" t="s">
        <v>18</v>
      </c>
    </row>
    <row r="139" spans="1:11" x14ac:dyDescent="0.2">
      <c r="A139" s="1" t="s">
        <v>27</v>
      </c>
      <c r="B139" s="2">
        <v>1138</v>
      </c>
      <c r="C139">
        <v>8722</v>
      </c>
      <c r="D139" t="s">
        <v>6</v>
      </c>
      <c r="E139">
        <v>344</v>
      </c>
      <c r="F139">
        <v>502</v>
      </c>
      <c r="G139" s="6">
        <f>F139-E139</f>
        <v>158</v>
      </c>
      <c r="H139">
        <f>IF(G139&lt;=50,F139*0.1, F139*0.2)</f>
        <v>100.4</v>
      </c>
      <c r="I139" s="5" t="s">
        <v>36</v>
      </c>
      <c r="J139" s="5" t="s">
        <v>37</v>
      </c>
      <c r="K139" t="s">
        <v>21</v>
      </c>
    </row>
    <row r="140" spans="1:11" x14ac:dyDescent="0.2">
      <c r="A140" s="1" t="s">
        <v>27</v>
      </c>
      <c r="B140" s="2">
        <v>1139</v>
      </c>
      <c r="C140">
        <v>4421</v>
      </c>
      <c r="D140" t="s">
        <v>9</v>
      </c>
      <c r="E140">
        <v>45</v>
      </c>
      <c r="F140">
        <v>87</v>
      </c>
      <c r="G140" s="6">
        <f>F140-E140</f>
        <v>42</v>
      </c>
      <c r="H140">
        <f>IF(G140&lt;=50,F140*0.1, F140*0.2)</f>
        <v>8.7000000000000011</v>
      </c>
      <c r="I140" s="5" t="s">
        <v>40</v>
      </c>
      <c r="J140" s="5" t="s">
        <v>41</v>
      </c>
      <c r="K140" t="s">
        <v>18</v>
      </c>
    </row>
    <row r="141" spans="1:11" x14ac:dyDescent="0.2">
      <c r="A141" s="1" t="s">
        <v>27</v>
      </c>
      <c r="B141" s="2">
        <v>1140</v>
      </c>
      <c r="C141">
        <v>4421</v>
      </c>
      <c r="D141" t="s">
        <v>9</v>
      </c>
      <c r="E141">
        <v>45</v>
      </c>
      <c r="F141">
        <v>87</v>
      </c>
      <c r="G141" s="6">
        <f>F141-E141</f>
        <v>42</v>
      </c>
      <c r="H141">
        <f>IF(G141&lt;=50,F141*0.1, F141*0.2)</f>
        <v>8.7000000000000011</v>
      </c>
      <c r="I141" s="5" t="s">
        <v>38</v>
      </c>
      <c r="J141" s="5" t="s">
        <v>39</v>
      </c>
      <c r="K141" t="s">
        <v>17</v>
      </c>
    </row>
    <row r="142" spans="1:11" x14ac:dyDescent="0.2">
      <c r="A142" s="1" t="s">
        <v>27</v>
      </c>
      <c r="B142" s="2">
        <v>1141</v>
      </c>
      <c r="C142">
        <v>9212</v>
      </c>
      <c r="D142" t="s">
        <v>10</v>
      </c>
      <c r="E142">
        <v>4</v>
      </c>
      <c r="F142">
        <v>7</v>
      </c>
      <c r="G142" s="6">
        <f>F142-E142</f>
        <v>3</v>
      </c>
      <c r="H142">
        <f>IF(G142&lt;=50,F142*0.1, F142*0.2)</f>
        <v>0.70000000000000007</v>
      </c>
      <c r="I142" s="5" t="s">
        <v>38</v>
      </c>
      <c r="J142" s="5" t="s">
        <v>39</v>
      </c>
      <c r="K142" t="s">
        <v>16</v>
      </c>
    </row>
    <row r="143" spans="1:11" x14ac:dyDescent="0.2">
      <c r="A143" s="1" t="s">
        <v>34</v>
      </c>
      <c r="B143" s="2">
        <v>1142</v>
      </c>
      <c r="C143">
        <v>2242</v>
      </c>
      <c r="D143" t="s">
        <v>8</v>
      </c>
      <c r="E143">
        <v>60</v>
      </c>
      <c r="F143">
        <v>124</v>
      </c>
      <c r="G143" s="6">
        <f>F143-E143</f>
        <v>64</v>
      </c>
      <c r="H143">
        <f>IF(G143&lt;=50,F143*0.1, F143*0.2)</f>
        <v>24.8</v>
      </c>
      <c r="I143" s="5" t="s">
        <v>38</v>
      </c>
      <c r="J143" s="5" t="s">
        <v>39</v>
      </c>
      <c r="K143" t="s">
        <v>17</v>
      </c>
    </row>
    <row r="144" spans="1:11" x14ac:dyDescent="0.2">
      <c r="A144" s="1" t="s">
        <v>34</v>
      </c>
      <c r="B144" s="2">
        <v>1143</v>
      </c>
      <c r="C144">
        <v>9822</v>
      </c>
      <c r="D144" t="s">
        <v>5</v>
      </c>
      <c r="E144">
        <v>58.3</v>
      </c>
      <c r="F144">
        <v>98.4</v>
      </c>
      <c r="G144" s="6">
        <f>F144-E144</f>
        <v>40.100000000000009</v>
      </c>
      <c r="H144">
        <f>IF(G144&lt;=50,F144*0.1, F144*0.2)</f>
        <v>9.8400000000000016</v>
      </c>
      <c r="I144" s="5" t="s">
        <v>42</v>
      </c>
      <c r="J144" s="5" t="s">
        <v>43</v>
      </c>
      <c r="K144" t="s">
        <v>16</v>
      </c>
    </row>
    <row r="145" spans="1:11" x14ac:dyDescent="0.2">
      <c r="A145" s="1" t="s">
        <v>34</v>
      </c>
      <c r="B145" s="2">
        <v>1144</v>
      </c>
      <c r="C145">
        <v>2242</v>
      </c>
      <c r="D145" t="s">
        <v>8</v>
      </c>
      <c r="E145">
        <v>60</v>
      </c>
      <c r="F145">
        <v>124</v>
      </c>
      <c r="G145" s="6">
        <f>F145-E145</f>
        <v>64</v>
      </c>
      <c r="H145">
        <f>IF(G145&lt;=50,F145*0.1, F145*0.2)</f>
        <v>24.8</v>
      </c>
      <c r="I145" s="5" t="s">
        <v>42</v>
      </c>
      <c r="J145" s="5" t="s">
        <v>43</v>
      </c>
      <c r="K145" t="s">
        <v>18</v>
      </c>
    </row>
    <row r="146" spans="1:11" x14ac:dyDescent="0.2">
      <c r="A146" s="1" t="s">
        <v>34</v>
      </c>
      <c r="B146" s="2">
        <v>1145</v>
      </c>
      <c r="C146">
        <v>4421</v>
      </c>
      <c r="D146" t="s">
        <v>9</v>
      </c>
      <c r="E146">
        <v>45</v>
      </c>
      <c r="F146">
        <v>87</v>
      </c>
      <c r="G146" s="6">
        <f>F146-E146</f>
        <v>42</v>
      </c>
      <c r="H146">
        <f>IF(G146&lt;=50,F146*0.1, F146*0.2)</f>
        <v>8.7000000000000011</v>
      </c>
      <c r="I146" s="5" t="s">
        <v>42</v>
      </c>
      <c r="J146" s="5" t="s">
        <v>43</v>
      </c>
      <c r="K146" t="s">
        <v>19</v>
      </c>
    </row>
    <row r="147" spans="1:11" x14ac:dyDescent="0.2">
      <c r="A147" s="1" t="s">
        <v>34</v>
      </c>
      <c r="B147" s="2">
        <v>1146</v>
      </c>
      <c r="C147">
        <v>8722</v>
      </c>
      <c r="D147" t="s">
        <v>6</v>
      </c>
      <c r="E147">
        <v>344</v>
      </c>
      <c r="F147">
        <v>502</v>
      </c>
      <c r="G147" s="6">
        <f>F147-E147</f>
        <v>158</v>
      </c>
      <c r="H147">
        <f>IF(G147&lt;=50,F147*0.1, F147*0.2)</f>
        <v>100.4</v>
      </c>
      <c r="I147" s="5" t="s">
        <v>42</v>
      </c>
      <c r="J147" s="5" t="s">
        <v>43</v>
      </c>
      <c r="K147" t="s">
        <v>17</v>
      </c>
    </row>
    <row r="148" spans="1:11" x14ac:dyDescent="0.2">
      <c r="A148" s="1" t="s">
        <v>34</v>
      </c>
      <c r="B148" s="2">
        <v>1147</v>
      </c>
      <c r="C148">
        <v>9822</v>
      </c>
      <c r="D148" t="s">
        <v>5</v>
      </c>
      <c r="E148">
        <v>58.3</v>
      </c>
      <c r="F148">
        <v>98.4</v>
      </c>
      <c r="G148" s="6">
        <f>F148-E148</f>
        <v>40.100000000000009</v>
      </c>
      <c r="H148">
        <f>IF(G148&lt;=50,F148*0.1, F148*0.2)</f>
        <v>9.8400000000000016</v>
      </c>
      <c r="I148" s="5" t="s">
        <v>36</v>
      </c>
      <c r="J148" s="5" t="s">
        <v>37</v>
      </c>
      <c r="K148" t="s">
        <v>18</v>
      </c>
    </row>
    <row r="149" spans="1:11" x14ac:dyDescent="0.2">
      <c r="A149" s="1" t="s">
        <v>34</v>
      </c>
      <c r="B149" s="2">
        <v>1148</v>
      </c>
      <c r="C149">
        <v>9212</v>
      </c>
      <c r="D149" t="s">
        <v>10</v>
      </c>
      <c r="E149">
        <v>4</v>
      </c>
      <c r="F149">
        <v>7</v>
      </c>
      <c r="G149" s="6">
        <f>F149-E149</f>
        <v>3</v>
      </c>
      <c r="H149">
        <f>IF(G149&lt;=50,F149*0.1, F149*0.2)</f>
        <v>0.70000000000000007</v>
      </c>
      <c r="I149" s="5" t="s">
        <v>40</v>
      </c>
      <c r="J149" s="5" t="s">
        <v>41</v>
      </c>
      <c r="K149" t="s">
        <v>16</v>
      </c>
    </row>
    <row r="150" spans="1:11" x14ac:dyDescent="0.2">
      <c r="A150" s="1" t="s">
        <v>34</v>
      </c>
      <c r="B150" s="2">
        <v>1149</v>
      </c>
      <c r="C150">
        <v>8722</v>
      </c>
      <c r="D150" t="s">
        <v>6</v>
      </c>
      <c r="E150">
        <v>344</v>
      </c>
      <c r="F150">
        <v>502</v>
      </c>
      <c r="G150" s="6">
        <f>F150-E150</f>
        <v>158</v>
      </c>
      <c r="H150">
        <f>IF(G150&lt;=50,F150*0.1, F150*0.2)</f>
        <v>100.4</v>
      </c>
      <c r="I150" s="5" t="s">
        <v>36</v>
      </c>
      <c r="J150" s="5" t="s">
        <v>37</v>
      </c>
      <c r="K150" t="s">
        <v>16</v>
      </c>
    </row>
    <row r="151" spans="1:11" x14ac:dyDescent="0.2">
      <c r="A151" s="1" t="s">
        <v>28</v>
      </c>
      <c r="B151" s="2">
        <v>1150</v>
      </c>
      <c r="C151">
        <v>2242</v>
      </c>
      <c r="D151" t="s">
        <v>8</v>
      </c>
      <c r="E151">
        <v>60</v>
      </c>
      <c r="F151">
        <v>124</v>
      </c>
      <c r="G151" s="6">
        <f>F151-E151</f>
        <v>64</v>
      </c>
      <c r="H151">
        <f>IF(G151&lt;=50,F151*0.1, F151*0.2)</f>
        <v>24.8</v>
      </c>
      <c r="I151" s="5" t="s">
        <v>40</v>
      </c>
      <c r="J151" s="5" t="s">
        <v>41</v>
      </c>
      <c r="K151" t="s">
        <v>21</v>
      </c>
    </row>
    <row r="152" spans="1:11" x14ac:dyDescent="0.2">
      <c r="A152" s="1" t="s">
        <v>28</v>
      </c>
      <c r="B152" s="2">
        <v>1151</v>
      </c>
      <c r="C152">
        <v>2242</v>
      </c>
      <c r="D152" t="s">
        <v>8</v>
      </c>
      <c r="E152">
        <v>60</v>
      </c>
      <c r="F152">
        <v>124</v>
      </c>
      <c r="G152" s="6">
        <f>F152-E152</f>
        <v>64</v>
      </c>
      <c r="H152">
        <f>IF(G152&lt;=50,F152*0.1, F152*0.2)</f>
        <v>24.8</v>
      </c>
      <c r="I152" s="5" t="s">
        <v>38</v>
      </c>
      <c r="J152" s="5" t="s">
        <v>39</v>
      </c>
      <c r="K152" t="s">
        <v>18</v>
      </c>
    </row>
    <row r="153" spans="1:11" x14ac:dyDescent="0.2">
      <c r="A153" s="1" t="s">
        <v>28</v>
      </c>
      <c r="B153" s="2">
        <v>1152</v>
      </c>
      <c r="C153">
        <v>4421</v>
      </c>
      <c r="D153" t="s">
        <v>9</v>
      </c>
      <c r="E153">
        <v>45</v>
      </c>
      <c r="F153">
        <v>87</v>
      </c>
      <c r="G153" s="6">
        <f>F153-E153</f>
        <v>42</v>
      </c>
      <c r="H153">
        <f>IF(G153&lt;=50,F153*0.1, F153*0.2)</f>
        <v>8.7000000000000011</v>
      </c>
      <c r="I153" s="5" t="s">
        <v>36</v>
      </c>
      <c r="J153" s="5" t="s">
        <v>37</v>
      </c>
      <c r="K153" t="s">
        <v>17</v>
      </c>
    </row>
    <row r="154" spans="1:11" x14ac:dyDescent="0.2">
      <c r="A154" s="1" t="s">
        <v>28</v>
      </c>
      <c r="B154" s="2">
        <v>1153</v>
      </c>
      <c r="C154">
        <v>8722</v>
      </c>
      <c r="D154" t="s">
        <v>6</v>
      </c>
      <c r="E154">
        <v>344</v>
      </c>
      <c r="F154">
        <v>502</v>
      </c>
      <c r="G154" s="6">
        <f>F154-E154</f>
        <v>158</v>
      </c>
      <c r="H154">
        <f>IF(G154&lt;=50,F154*0.1, F154*0.2)</f>
        <v>100.4</v>
      </c>
      <c r="I154" s="5" t="s">
        <v>40</v>
      </c>
      <c r="J154" s="5" t="s">
        <v>41</v>
      </c>
      <c r="K154" t="s">
        <v>16</v>
      </c>
    </row>
    <row r="155" spans="1:11" x14ac:dyDescent="0.2">
      <c r="A155" s="1" t="s">
        <v>28</v>
      </c>
      <c r="B155" s="2">
        <v>1154</v>
      </c>
      <c r="C155">
        <v>9822</v>
      </c>
      <c r="D155" t="s">
        <v>5</v>
      </c>
      <c r="E155">
        <v>58.3</v>
      </c>
      <c r="F155">
        <v>98.4</v>
      </c>
      <c r="G155" s="6">
        <f>F155-E155</f>
        <v>40.100000000000009</v>
      </c>
      <c r="H155">
        <f>IF(G155&lt;=50,F155*0.1, F155*0.2)</f>
        <v>9.8400000000000016</v>
      </c>
      <c r="I155" s="5" t="s">
        <v>38</v>
      </c>
      <c r="J155" s="5" t="s">
        <v>39</v>
      </c>
      <c r="K155" t="s">
        <v>17</v>
      </c>
    </row>
    <row r="156" spans="1:11" x14ac:dyDescent="0.2">
      <c r="A156" s="1" t="s">
        <v>28</v>
      </c>
      <c r="B156" s="2">
        <v>1155</v>
      </c>
      <c r="C156">
        <v>4421</v>
      </c>
      <c r="D156" t="s">
        <v>9</v>
      </c>
      <c r="E156">
        <v>45</v>
      </c>
      <c r="F156">
        <v>87</v>
      </c>
      <c r="G156" s="6">
        <f>F156-E156</f>
        <v>42</v>
      </c>
      <c r="H156">
        <f>IF(G156&lt;=50,F156*0.1, F156*0.2)</f>
        <v>8.7000000000000011</v>
      </c>
      <c r="I156" s="5" t="s">
        <v>40</v>
      </c>
      <c r="J156" s="5" t="s">
        <v>41</v>
      </c>
      <c r="K156" t="s">
        <v>16</v>
      </c>
    </row>
    <row r="157" spans="1:11" x14ac:dyDescent="0.2">
      <c r="A157" s="1" t="s">
        <v>28</v>
      </c>
      <c r="B157" s="2">
        <v>1156</v>
      </c>
      <c r="C157">
        <v>2242</v>
      </c>
      <c r="D157" t="s">
        <v>8</v>
      </c>
      <c r="E157">
        <v>60</v>
      </c>
      <c r="F157">
        <v>124</v>
      </c>
      <c r="G157" s="6">
        <f>F157-E157</f>
        <v>64</v>
      </c>
      <c r="H157">
        <f>IF(G157&lt;=50,F157*0.1, F157*0.2)</f>
        <v>24.8</v>
      </c>
      <c r="I157" s="5" t="s">
        <v>40</v>
      </c>
      <c r="J157" s="5" t="s">
        <v>41</v>
      </c>
      <c r="K157" t="s">
        <v>18</v>
      </c>
    </row>
    <row r="158" spans="1:11" x14ac:dyDescent="0.2">
      <c r="A158" s="1" t="s">
        <v>28</v>
      </c>
      <c r="B158" s="2">
        <v>1157</v>
      </c>
      <c r="C158">
        <v>9212</v>
      </c>
      <c r="D158" t="s">
        <v>10</v>
      </c>
      <c r="E158">
        <v>4</v>
      </c>
      <c r="F158">
        <v>7</v>
      </c>
      <c r="G158" s="6">
        <f>F158-E158</f>
        <v>3</v>
      </c>
      <c r="H158">
        <f>IF(G158&lt;=50,F158*0.1, F158*0.2)</f>
        <v>0.70000000000000007</v>
      </c>
      <c r="I158" s="5" t="s">
        <v>40</v>
      </c>
      <c r="J158" s="5" t="s">
        <v>41</v>
      </c>
      <c r="K158" t="s">
        <v>19</v>
      </c>
    </row>
    <row r="159" spans="1:11" x14ac:dyDescent="0.2">
      <c r="A159" s="1" t="s">
        <v>29</v>
      </c>
      <c r="B159" s="2">
        <v>1158</v>
      </c>
      <c r="C159">
        <v>8722</v>
      </c>
      <c r="D159" t="s">
        <v>6</v>
      </c>
      <c r="E159">
        <v>344</v>
      </c>
      <c r="F159">
        <v>502</v>
      </c>
      <c r="G159" s="6">
        <f>F159-E159</f>
        <v>158</v>
      </c>
      <c r="H159">
        <f>IF(G159&lt;=50,F159*0.1, F159*0.2)</f>
        <v>100.4</v>
      </c>
      <c r="I159" s="5" t="s">
        <v>36</v>
      </c>
      <c r="J159" s="5" t="s">
        <v>37</v>
      </c>
      <c r="K159" t="s">
        <v>17</v>
      </c>
    </row>
    <row r="160" spans="1:11" x14ac:dyDescent="0.2">
      <c r="A160" s="1" t="s">
        <v>29</v>
      </c>
      <c r="B160" s="2">
        <v>1159</v>
      </c>
      <c r="C160">
        <v>6622</v>
      </c>
      <c r="D160" t="s">
        <v>7</v>
      </c>
      <c r="E160">
        <v>42</v>
      </c>
      <c r="F160">
        <v>77</v>
      </c>
      <c r="G160" s="6">
        <f>F160-E160</f>
        <v>35</v>
      </c>
      <c r="H160">
        <f>IF(G160&lt;=50,F160*0.1, F160*0.2)</f>
        <v>7.7</v>
      </c>
      <c r="I160" s="5" t="s">
        <v>40</v>
      </c>
      <c r="J160" s="5" t="s">
        <v>41</v>
      </c>
      <c r="K160" t="s">
        <v>18</v>
      </c>
    </row>
    <row r="161" spans="1:11" x14ac:dyDescent="0.2">
      <c r="A161" s="1" t="s">
        <v>29</v>
      </c>
      <c r="B161" s="2">
        <v>1160</v>
      </c>
      <c r="C161">
        <v>9822</v>
      </c>
      <c r="D161" t="s">
        <v>5</v>
      </c>
      <c r="E161">
        <v>58.3</v>
      </c>
      <c r="F161">
        <v>98.4</v>
      </c>
      <c r="G161" s="6">
        <f>F161-E161</f>
        <v>40.100000000000009</v>
      </c>
      <c r="H161">
        <f>IF(G161&lt;=50,F161*0.1, F161*0.2)</f>
        <v>9.8400000000000016</v>
      </c>
      <c r="I161" s="5" t="s">
        <v>42</v>
      </c>
      <c r="J161" s="5" t="s">
        <v>43</v>
      </c>
      <c r="K161" t="s">
        <v>17</v>
      </c>
    </row>
    <row r="162" spans="1:11" x14ac:dyDescent="0.2">
      <c r="A162" s="1" t="s">
        <v>29</v>
      </c>
      <c r="B162" s="2">
        <v>1161</v>
      </c>
      <c r="C162">
        <v>4421</v>
      </c>
      <c r="D162" t="s">
        <v>9</v>
      </c>
      <c r="E162">
        <v>45</v>
      </c>
      <c r="F162">
        <v>87</v>
      </c>
      <c r="G162" s="6">
        <f>F162-E162</f>
        <v>42</v>
      </c>
      <c r="H162">
        <f>IF(G162&lt;=50,F162*0.1, F162*0.2)</f>
        <v>8.7000000000000011</v>
      </c>
      <c r="I162" s="5" t="s">
        <v>38</v>
      </c>
      <c r="J162" s="5" t="s">
        <v>39</v>
      </c>
      <c r="K162" t="s">
        <v>18</v>
      </c>
    </row>
    <row r="163" spans="1:11" x14ac:dyDescent="0.2">
      <c r="A163" s="1" t="s">
        <v>29</v>
      </c>
      <c r="B163" s="2">
        <v>1162</v>
      </c>
      <c r="C163">
        <v>9212</v>
      </c>
      <c r="D163" t="s">
        <v>10</v>
      </c>
      <c r="E163">
        <v>4</v>
      </c>
      <c r="F163">
        <v>7</v>
      </c>
      <c r="G163" s="6">
        <f>F163-E163</f>
        <v>3</v>
      </c>
      <c r="H163">
        <f>IF(G163&lt;=50,F163*0.1, F163*0.2)</f>
        <v>0.70000000000000007</v>
      </c>
      <c r="I163" s="5" t="s">
        <v>36</v>
      </c>
      <c r="J163" s="5" t="s">
        <v>37</v>
      </c>
      <c r="K163" t="s">
        <v>16</v>
      </c>
    </row>
    <row r="164" spans="1:11" x14ac:dyDescent="0.2">
      <c r="A164" s="1" t="s">
        <v>29</v>
      </c>
      <c r="B164" s="2">
        <v>1163</v>
      </c>
      <c r="C164">
        <v>9212</v>
      </c>
      <c r="D164" t="s">
        <v>10</v>
      </c>
      <c r="E164">
        <v>4</v>
      </c>
      <c r="F164">
        <v>7</v>
      </c>
      <c r="G164" s="6">
        <f>F164-E164</f>
        <v>3</v>
      </c>
      <c r="H164">
        <f>IF(G164&lt;=50,F164*0.1, F164*0.2)</f>
        <v>0.70000000000000007</v>
      </c>
      <c r="I164" s="5" t="s">
        <v>40</v>
      </c>
      <c r="J164" s="5" t="s">
        <v>41</v>
      </c>
      <c r="K164" t="s">
        <v>18</v>
      </c>
    </row>
    <row r="165" spans="1:11" x14ac:dyDescent="0.2">
      <c r="A165" s="1" t="s">
        <v>29</v>
      </c>
      <c r="B165" s="2">
        <v>1164</v>
      </c>
      <c r="C165">
        <v>9822</v>
      </c>
      <c r="D165" t="s">
        <v>5</v>
      </c>
      <c r="E165">
        <v>58.3</v>
      </c>
      <c r="F165">
        <v>98.4</v>
      </c>
      <c r="G165" s="6">
        <f>F165-E165</f>
        <v>40.100000000000009</v>
      </c>
      <c r="H165">
        <f>IF(G165&lt;=50,F165*0.1, F165*0.2)</f>
        <v>9.8400000000000016</v>
      </c>
      <c r="I165" s="5" t="s">
        <v>40</v>
      </c>
      <c r="J165" s="5" t="s">
        <v>41</v>
      </c>
      <c r="K165" t="s">
        <v>16</v>
      </c>
    </row>
    <row r="166" spans="1:11" x14ac:dyDescent="0.2">
      <c r="A166" s="1" t="s">
        <v>29</v>
      </c>
      <c r="B166" s="2">
        <v>1165</v>
      </c>
      <c r="C166">
        <v>9822</v>
      </c>
      <c r="D166" t="s">
        <v>5</v>
      </c>
      <c r="E166">
        <v>58.3</v>
      </c>
      <c r="F166">
        <v>98.4</v>
      </c>
      <c r="G166" s="6">
        <f>F166-E166</f>
        <v>40.100000000000009</v>
      </c>
      <c r="H166">
        <f>IF(G166&lt;=50,F166*0.1, F166*0.2)</f>
        <v>9.8400000000000016</v>
      </c>
      <c r="I166" s="5" t="s">
        <v>40</v>
      </c>
      <c r="J166" s="5" t="s">
        <v>41</v>
      </c>
      <c r="K166" t="s">
        <v>16</v>
      </c>
    </row>
    <row r="167" spans="1:11" x14ac:dyDescent="0.2">
      <c r="A167" s="1" t="s">
        <v>29</v>
      </c>
      <c r="B167" s="2">
        <v>1166</v>
      </c>
      <c r="C167">
        <v>8722</v>
      </c>
      <c r="D167" t="s">
        <v>6</v>
      </c>
      <c r="E167">
        <v>344</v>
      </c>
      <c r="F167">
        <v>502</v>
      </c>
      <c r="G167" s="6">
        <f>F167-E167</f>
        <v>158</v>
      </c>
      <c r="H167">
        <f>IF(G167&lt;=50,F167*0.1, F167*0.2)</f>
        <v>100.4</v>
      </c>
      <c r="I167" s="5" t="s">
        <v>40</v>
      </c>
      <c r="J167" s="5" t="s">
        <v>41</v>
      </c>
      <c r="K167" t="s">
        <v>17</v>
      </c>
    </row>
    <row r="168" spans="1:11" x14ac:dyDescent="0.2">
      <c r="A168" s="1" t="s">
        <v>30</v>
      </c>
      <c r="B168" s="2">
        <v>1167</v>
      </c>
      <c r="C168">
        <v>2242</v>
      </c>
      <c r="D168" t="s">
        <v>8</v>
      </c>
      <c r="E168">
        <v>60</v>
      </c>
      <c r="F168">
        <v>124</v>
      </c>
      <c r="G168" s="6">
        <f>F168-E168</f>
        <v>64</v>
      </c>
      <c r="H168">
        <f>IF(G168&lt;=50,F168*0.1, F168*0.2)</f>
        <v>24.8</v>
      </c>
      <c r="I168" s="5" t="s">
        <v>40</v>
      </c>
      <c r="J168" s="5" t="s">
        <v>41</v>
      </c>
      <c r="K168" t="s">
        <v>19</v>
      </c>
    </row>
    <row r="169" spans="1:11" x14ac:dyDescent="0.2">
      <c r="A169" s="1" t="s">
        <v>30</v>
      </c>
      <c r="B169" s="2">
        <v>1168</v>
      </c>
      <c r="C169">
        <v>9822</v>
      </c>
      <c r="D169" t="s">
        <v>5</v>
      </c>
      <c r="E169">
        <v>58.3</v>
      </c>
      <c r="F169">
        <v>98.4</v>
      </c>
      <c r="G169" s="6">
        <f>F169-E169</f>
        <v>40.100000000000009</v>
      </c>
      <c r="H169">
        <f>IF(G169&lt;=50,F169*0.1, F169*0.2)</f>
        <v>9.8400000000000016</v>
      </c>
      <c r="I169" s="5" t="s">
        <v>40</v>
      </c>
      <c r="J169" s="5" t="s">
        <v>41</v>
      </c>
      <c r="K169" t="s">
        <v>18</v>
      </c>
    </row>
    <row r="170" spans="1:11" x14ac:dyDescent="0.2">
      <c r="A170" s="1" t="s">
        <v>30</v>
      </c>
      <c r="B170" s="2">
        <v>1169</v>
      </c>
      <c r="C170">
        <v>8722</v>
      </c>
      <c r="D170" t="s">
        <v>6</v>
      </c>
      <c r="E170">
        <v>344</v>
      </c>
      <c r="F170">
        <v>502</v>
      </c>
      <c r="G170" s="6">
        <f>F170-E170</f>
        <v>158</v>
      </c>
      <c r="H170">
        <f>IF(G170&lt;=50,F170*0.1, F170*0.2)</f>
        <v>100.4</v>
      </c>
      <c r="I170" s="5" t="s">
        <v>40</v>
      </c>
      <c r="J170" s="5" t="s">
        <v>41</v>
      </c>
      <c r="K170" t="s">
        <v>21</v>
      </c>
    </row>
    <row r="171" spans="1:11" x14ac:dyDescent="0.2">
      <c r="A171" s="1" t="s">
        <v>30</v>
      </c>
      <c r="B171" s="2">
        <v>1170</v>
      </c>
      <c r="C171">
        <v>4421</v>
      </c>
      <c r="D171" t="s">
        <v>9</v>
      </c>
      <c r="E171">
        <v>45</v>
      </c>
      <c r="F171">
        <v>87</v>
      </c>
      <c r="G171" s="6">
        <f>F171-E171</f>
        <v>42</v>
      </c>
      <c r="H171">
        <f>IF(G171&lt;=50,F171*0.1, F171*0.2)</f>
        <v>8.7000000000000011</v>
      </c>
      <c r="I171" s="5" t="s">
        <v>36</v>
      </c>
      <c r="J171" s="5" t="s">
        <v>37</v>
      </c>
      <c r="K171" t="s">
        <v>18</v>
      </c>
    </row>
    <row r="172" spans="1:11" x14ac:dyDescent="0.2">
      <c r="A172" s="1" t="s">
        <v>30</v>
      </c>
      <c r="B172" s="2">
        <v>1171</v>
      </c>
      <c r="C172">
        <v>4421</v>
      </c>
      <c r="D172" t="s">
        <v>9</v>
      </c>
      <c r="E172">
        <v>45</v>
      </c>
      <c r="F172">
        <v>87</v>
      </c>
      <c r="G172" s="6">
        <f>F172-E172</f>
        <v>42</v>
      </c>
      <c r="H172">
        <f>IF(G172&lt;=50,F172*0.1, F172*0.2)</f>
        <v>8.7000000000000011</v>
      </c>
      <c r="I172" s="5" t="s">
        <v>38</v>
      </c>
      <c r="J172" s="5" t="s">
        <v>39</v>
      </c>
      <c r="K172" t="s">
        <v>17</v>
      </c>
    </row>
    <row r="174" spans="1:11" ht="34" x14ac:dyDescent="0.2">
      <c r="A174" s="7" t="s">
        <v>47</v>
      </c>
      <c r="F174">
        <f>SUMIF(F1:F170,"&lt;=50")</f>
        <v>1022.1999999999997</v>
      </c>
    </row>
    <row r="175" spans="1:11" ht="85" x14ac:dyDescent="0.2">
      <c r="A175" s="7" t="s">
        <v>48</v>
      </c>
      <c r="F175">
        <f>SUMIF(F2:F172, "&gt;50")</f>
        <v>16088.399999999994</v>
      </c>
    </row>
    <row r="176" spans="1:11" ht="85" x14ac:dyDescent="0.2">
      <c r="A176" s="7" t="s">
        <v>49</v>
      </c>
      <c r="F176">
        <f>SUM(F4:F174)</f>
        <v>18018.099999999995</v>
      </c>
    </row>
  </sheetData>
  <sortState xmlns:xlrd2="http://schemas.microsoft.com/office/spreadsheetml/2017/richdata2" ref="A2:K172">
    <sortCondition ref="B2:B172"/>
  </sortState>
  <dataConsolidate topLabels="1">
    <dataRefs count="1">
      <dataRef ref="A2:G59" sheet="Sheet1"/>
    </dataRefs>
  </dataConsolid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 David Sluiter</dc:creator>
  <cp:lastModifiedBy>Izaq, Yosi</cp:lastModifiedBy>
  <dcterms:created xsi:type="dcterms:W3CDTF">2014-06-11T22:14:31Z</dcterms:created>
  <dcterms:modified xsi:type="dcterms:W3CDTF">2023-10-18T15:26:59Z</dcterms:modified>
</cp:coreProperties>
</file>